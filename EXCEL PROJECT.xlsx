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 PC\Downloads\"/>
    </mc:Choice>
  </mc:AlternateContent>
  <bookViews>
    <workbookView xWindow="0" yWindow="0" windowWidth="23040" windowHeight="9780" tabRatio="584" activeTab="1"/>
  </bookViews>
  <sheets>
    <sheet name="Sheet1" sheetId="1" r:id="rId1"/>
    <sheet name="WORKING SHEET" sheetId="4" r:id="rId2"/>
    <sheet name="PIVOT TABLE" sheetId="3" r:id="rId3"/>
    <sheet name="DASHBOARD" sheetId="2" r:id="rId4"/>
  </sheets>
  <definedNames>
    <definedName name="_xlnm._FilterDatabase" localSheetId="1" hidden="1">'WORKING SHEET'!$A$1:$J$101</definedName>
    <definedName name="Slicer_Age">#N/A</definedName>
    <definedName name="Slicer_Age_Bracket">#N/A</definedName>
    <definedName name="Slicer_Country">#N/A</definedName>
    <definedName name="Slicer_Gender">#N/A</definedName>
  </definedNames>
  <calcPr calcId="162913"/>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3" i="4" l="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2"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3" i="4"/>
  <c r="G2" i="4"/>
</calcChain>
</file>

<file path=xl/sharedStrings.xml><?xml version="1.0" encoding="utf-8"?>
<sst xmlns="http://schemas.openxmlformats.org/spreadsheetml/2006/main" count="1034" uniqueCount="121">
  <si>
    <t>First Name</t>
  </si>
  <si>
    <t>Last Name</t>
  </si>
  <si>
    <t>Gender</t>
  </si>
  <si>
    <t>Country</t>
  </si>
  <si>
    <t>Age</t>
  </si>
  <si>
    <t>Date</t>
  </si>
  <si>
    <t>Id</t>
  </si>
  <si>
    <t>Dulce</t>
  </si>
  <si>
    <t>Abril</t>
  </si>
  <si>
    <t>Female</t>
  </si>
  <si>
    <t>United States</t>
  </si>
  <si>
    <t>15/10/2017</t>
  </si>
  <si>
    <t>Mara</t>
  </si>
  <si>
    <t>Hashimoto</t>
  </si>
  <si>
    <t>Great Britain</t>
  </si>
  <si>
    <t>16/08/2016</t>
  </si>
  <si>
    <t>Philip</t>
  </si>
  <si>
    <t>Gent</t>
  </si>
  <si>
    <t>Male</t>
  </si>
  <si>
    <t>France</t>
  </si>
  <si>
    <t>21/05/2015</t>
  </si>
  <si>
    <t>Kathleen</t>
  </si>
  <si>
    <t>Hanner</t>
  </si>
  <si>
    <t>Nereida</t>
  </si>
  <si>
    <t>Magwood</t>
  </si>
  <si>
    <t>Gaston</t>
  </si>
  <si>
    <t>Brumm</t>
  </si>
  <si>
    <t>Etta</t>
  </si>
  <si>
    <t>Hurn</t>
  </si>
  <si>
    <t>Earlean</t>
  </si>
  <si>
    <t>Melgar</t>
  </si>
  <si>
    <t>Vincenza</t>
  </si>
  <si>
    <t>Weiland</t>
  </si>
  <si>
    <t>Fallon</t>
  </si>
  <si>
    <t>Winward</t>
  </si>
  <si>
    <t>Arcelia</t>
  </si>
  <si>
    <t>Bouska</t>
  </si>
  <si>
    <t>Franklyn</t>
  </si>
  <si>
    <t>Unknow</t>
  </si>
  <si>
    <t>Sherron</t>
  </si>
  <si>
    <t>Ascencio</t>
  </si>
  <si>
    <t>Marcel</t>
  </si>
  <si>
    <t>Zabriskie</t>
  </si>
  <si>
    <t>Kina</t>
  </si>
  <si>
    <t>Hazelton</t>
  </si>
  <si>
    <t>Shavonne</t>
  </si>
  <si>
    <t>Pia</t>
  </si>
  <si>
    <t>Shavon</t>
  </si>
  <si>
    <t>Benito</t>
  </si>
  <si>
    <t>Lauralee</t>
  </si>
  <si>
    <t>Perrine</t>
  </si>
  <si>
    <t>Loreta</t>
  </si>
  <si>
    <t>Curren</t>
  </si>
  <si>
    <t>Teresa</t>
  </si>
  <si>
    <t>Strawn</t>
  </si>
  <si>
    <t>Belinda</t>
  </si>
  <si>
    <t>Partain</t>
  </si>
  <si>
    <t>Holly</t>
  </si>
  <si>
    <t>Eudy</t>
  </si>
  <si>
    <t>Many</t>
  </si>
  <si>
    <t>Cuccia</t>
  </si>
  <si>
    <t>Libbie</t>
  </si>
  <si>
    <t>Dalby</t>
  </si>
  <si>
    <t>Lester</t>
  </si>
  <si>
    <t>Prothro</t>
  </si>
  <si>
    <t>Marvel</t>
  </si>
  <si>
    <t>Hail</t>
  </si>
  <si>
    <t>Angelyn</t>
  </si>
  <si>
    <t>Vong</t>
  </si>
  <si>
    <t>Francesca</t>
  </si>
  <si>
    <t>Beaudreau</t>
  </si>
  <si>
    <t>Garth</t>
  </si>
  <si>
    <t>Gangi</t>
  </si>
  <si>
    <t>Carla</t>
  </si>
  <si>
    <t>Trumbull</t>
  </si>
  <si>
    <t>Veta</t>
  </si>
  <si>
    <t>Muntz</t>
  </si>
  <si>
    <t>Stasia</t>
  </si>
  <si>
    <t>Becker</t>
  </si>
  <si>
    <t>Jona</t>
  </si>
  <si>
    <t>Grindle</t>
  </si>
  <si>
    <t>Judie</t>
  </si>
  <si>
    <t>Claywell</t>
  </si>
  <si>
    <t>Dewitt</t>
  </si>
  <si>
    <t>Borger</t>
  </si>
  <si>
    <t>Nena</t>
  </si>
  <si>
    <t>Hacker</t>
  </si>
  <si>
    <t>Kelsie</t>
  </si>
  <si>
    <t>Wachtel</t>
  </si>
  <si>
    <t>Sau</t>
  </si>
  <si>
    <t>Pfau</t>
  </si>
  <si>
    <t>Shanice</t>
  </si>
  <si>
    <t>Mccrystal</t>
  </si>
  <si>
    <t>Chase</t>
  </si>
  <si>
    <t>Karner</t>
  </si>
  <si>
    <t>Tommie</t>
  </si>
  <si>
    <t>Underdahl</t>
  </si>
  <si>
    <t>Dorcas</t>
  </si>
  <si>
    <t>Darity</t>
  </si>
  <si>
    <t>Angel</t>
  </si>
  <si>
    <t>Sanor</t>
  </si>
  <si>
    <t>Willodean</t>
  </si>
  <si>
    <t>Harn</t>
  </si>
  <si>
    <t>Weston</t>
  </si>
  <si>
    <t>Martina</t>
  </si>
  <si>
    <t>Roma</t>
  </si>
  <si>
    <t>Lafollette</t>
  </si>
  <si>
    <t>Felisa</t>
  </si>
  <si>
    <t>Cail</t>
  </si>
  <si>
    <t>Demetria</t>
  </si>
  <si>
    <t>Abbey</t>
  </si>
  <si>
    <t>Jeromy</t>
  </si>
  <si>
    <t>Danz</t>
  </si>
  <si>
    <t>Rasheeda</t>
  </si>
  <si>
    <t>Alkire</t>
  </si>
  <si>
    <t>Age Bracket</t>
  </si>
  <si>
    <t>First and last name</t>
  </si>
  <si>
    <t>Grand Total</t>
  </si>
  <si>
    <t>Sum of Age</t>
  </si>
  <si>
    <t>DASH BOARD</t>
  </si>
  <si>
    <t>Count of Age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</si>
</sst>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
  </numFmts>
  <fonts count="3" x14ac:knownFonts="1">
    <font>
      <sz val="10"/>
      <name val="Arial"/>
      <family val="2"/>
    </font>
    <font>
      <b/>
      <sz val="10"/>
      <name val="Arial"/>
      <family val="2"/>
    </font>
    <font>
      <sz val="28"/>
      <name val="Arial Black"/>
      <family val="2"/>
    </font>
  </fonts>
  <fills count="3">
    <fill>
      <patternFill patternType="none"/>
    </fill>
    <fill>
      <patternFill patternType="gray125"/>
    </fill>
    <fill>
      <patternFill patternType="solid">
        <fgColor theme="4" tint="0.39997558519241921"/>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31">
    <xf numFmtId="0" fontId="0" fillId="0" borderId="0" xfId="0"/>
    <xf numFmtId="0" fontId="1" fillId="0" borderId="0" xfId="0" applyFont="1"/>
    <xf numFmtId="164" fontId="0" fillId="0" borderId="0" xfId="0" applyNumberFormat="1" applyFont="1"/>
    <xf numFmtId="0" fontId="0" fillId="0" borderId="0" xfId="0" applyFont="1"/>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4" xfId="0" applyBorder="1"/>
    <xf numFmtId="0" fontId="0" fillId="0" borderId="5" xfId="0" applyBorder="1"/>
    <xf numFmtId="0" fontId="0" fillId="0" borderId="6" xfId="0" applyNumberFormat="1" applyBorder="1"/>
    <xf numFmtId="0" fontId="0" fillId="0" borderId="4" xfId="0" applyNumberFormat="1" applyBorder="1"/>
    <xf numFmtId="0" fontId="0" fillId="0" borderId="7" xfId="0" applyBorder="1"/>
    <xf numFmtId="0" fontId="0" fillId="0" borderId="8" xfId="0" applyNumberFormat="1" applyBorder="1"/>
    <xf numFmtId="0" fontId="0" fillId="0" borderId="2" xfId="0" applyBorder="1" applyAlignment="1">
      <alignment horizontal="center"/>
    </xf>
    <xf numFmtId="0" fontId="0" fillId="0" borderId="3" xfId="0" applyBorder="1" applyAlignment="1">
      <alignment horizontal="center"/>
    </xf>
    <xf numFmtId="0" fontId="0" fillId="0" borderId="1" xfId="0" pivotButton="1" applyBorder="1" applyAlignment="1">
      <alignment horizontal="center"/>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1" xfId="0" applyNumberFormat="1" applyBorder="1"/>
    <xf numFmtId="0" fontId="0" fillId="0" borderId="9" xfId="0" applyNumberFormat="1" applyBorder="1"/>
    <xf numFmtId="0" fontId="0" fillId="0" borderId="7" xfId="0" applyNumberFormat="1" applyBorder="1"/>
    <xf numFmtId="0" fontId="0" fillId="0" borderId="0" xfId="0" applyNumberFormat="1"/>
    <xf numFmtId="0" fontId="0" fillId="0" borderId="5" xfId="0" applyNumberFormat="1" applyBorder="1"/>
    <xf numFmtId="0" fontId="0" fillId="0" borderId="10" xfId="0" applyNumberFormat="1" applyBorder="1"/>
    <xf numFmtId="0" fontId="0" fillId="0" borderId="9" xfId="0" applyBorder="1" applyAlignment="1">
      <alignment horizontal="center" vertical="center" wrapText="1"/>
    </xf>
    <xf numFmtId="0" fontId="0" fillId="0" borderId="4" xfId="0" applyBorder="1" applyAlignment="1">
      <alignment horizontal="center" vertical="center" wrapText="1"/>
    </xf>
    <xf numFmtId="0" fontId="0" fillId="0" borderId="9" xfId="0" applyBorder="1"/>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GENDER FROM EACH COUNTRY</a:t>
            </a:r>
            <a:endParaRPr lang="en-GB"/>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3"/>
          </a:solidFill>
          <a:ln>
            <a:noFill/>
          </a:ln>
          <a:effectLst/>
        </c:spPr>
        <c:marker>
          <c:symbol val="none"/>
        </c:marker>
      </c:pivotFmt>
      <c:pivotFmt>
        <c:idx val="3"/>
        <c:marker>
          <c:symbol val="none"/>
        </c:marker>
      </c:pivotFmt>
    </c:pivotFmts>
    <c:plotArea>
      <c:layout/>
      <c:barChart>
        <c:barDir val="col"/>
        <c:grouping val="clustered"/>
        <c:varyColors val="0"/>
        <c:ser>
          <c:idx val="0"/>
          <c:order val="0"/>
          <c:tx>
            <c:strRef>
              <c:f>'PIVOT TABLE'!$C$6:$C$7</c:f>
              <c:strCache>
                <c:ptCount val="1"/>
                <c:pt idx="0">
                  <c:v>France</c:v>
                </c:pt>
              </c:strCache>
            </c:strRef>
          </c:tx>
          <c:spPr>
            <a:solidFill>
              <a:schemeClr val="accent1"/>
            </a:solidFill>
            <a:ln>
              <a:noFill/>
            </a:ln>
            <a:effectLst/>
          </c:spPr>
          <c:invertIfNegative val="0"/>
          <c:cat>
            <c:strRef>
              <c:f>'PIVOT TABLE'!$B$8:$B$10</c:f>
              <c:strCache>
                <c:ptCount val="2"/>
                <c:pt idx="0">
                  <c:v>Female</c:v>
                </c:pt>
                <c:pt idx="1">
                  <c:v>Male</c:v>
                </c:pt>
              </c:strCache>
            </c:strRef>
          </c:cat>
          <c:val>
            <c:numRef>
              <c:f>'PIVOT TABLE'!$C$8:$C$10</c:f>
              <c:numCache>
                <c:formatCode>General</c:formatCode>
                <c:ptCount val="2"/>
                <c:pt idx="0">
                  <c:v>524</c:v>
                </c:pt>
                <c:pt idx="1">
                  <c:v>238</c:v>
                </c:pt>
              </c:numCache>
            </c:numRef>
          </c:val>
          <c:extLst>
            <c:ext xmlns:c16="http://schemas.microsoft.com/office/drawing/2014/chart" uri="{C3380CC4-5D6E-409C-BE32-E72D297353CC}">
              <c16:uniqueId val="{00000000-BD06-4838-8F9D-D712516EDFAD}"/>
            </c:ext>
          </c:extLst>
        </c:ser>
        <c:ser>
          <c:idx val="1"/>
          <c:order val="1"/>
          <c:tx>
            <c:strRef>
              <c:f>'PIVOT TABLE'!$D$6:$D$7</c:f>
              <c:strCache>
                <c:ptCount val="1"/>
                <c:pt idx="0">
                  <c:v>Great Britain</c:v>
                </c:pt>
              </c:strCache>
            </c:strRef>
          </c:tx>
          <c:spPr>
            <a:solidFill>
              <a:schemeClr val="accent2"/>
            </a:solidFill>
            <a:ln>
              <a:noFill/>
            </a:ln>
            <a:effectLst/>
          </c:spPr>
          <c:invertIfNegative val="0"/>
          <c:cat>
            <c:strRef>
              <c:f>'PIVOT TABLE'!$B$8:$B$10</c:f>
              <c:strCache>
                <c:ptCount val="2"/>
                <c:pt idx="0">
                  <c:v>Female</c:v>
                </c:pt>
                <c:pt idx="1">
                  <c:v>Male</c:v>
                </c:pt>
              </c:strCache>
            </c:strRef>
          </c:cat>
          <c:val>
            <c:numRef>
              <c:f>'PIVOT TABLE'!$D$8:$D$10</c:f>
              <c:numCache>
                <c:formatCode>General</c:formatCode>
                <c:ptCount val="2"/>
                <c:pt idx="0">
                  <c:v>876</c:v>
                </c:pt>
                <c:pt idx="1">
                  <c:v>52</c:v>
                </c:pt>
              </c:numCache>
            </c:numRef>
          </c:val>
          <c:extLst>
            <c:ext xmlns:c16="http://schemas.microsoft.com/office/drawing/2014/chart" uri="{C3380CC4-5D6E-409C-BE32-E72D297353CC}">
              <c16:uniqueId val="{00000000-93EF-442D-BF57-1DDEBB35A94D}"/>
            </c:ext>
          </c:extLst>
        </c:ser>
        <c:ser>
          <c:idx val="2"/>
          <c:order val="2"/>
          <c:tx>
            <c:strRef>
              <c:f>'PIVOT TABLE'!$E$6:$E$7</c:f>
              <c:strCache>
                <c:ptCount val="1"/>
                <c:pt idx="0">
                  <c:v>United States</c:v>
                </c:pt>
              </c:strCache>
            </c:strRef>
          </c:tx>
          <c:spPr>
            <a:solidFill>
              <a:schemeClr val="accent3"/>
            </a:solidFill>
            <a:ln>
              <a:noFill/>
            </a:ln>
            <a:effectLst/>
          </c:spPr>
          <c:invertIfNegative val="0"/>
          <c:cat>
            <c:strRef>
              <c:f>'PIVOT TABLE'!$B$8:$B$10</c:f>
              <c:strCache>
                <c:ptCount val="2"/>
                <c:pt idx="0">
                  <c:v>Female</c:v>
                </c:pt>
                <c:pt idx="1">
                  <c:v>Male</c:v>
                </c:pt>
              </c:strCache>
            </c:strRef>
          </c:cat>
          <c:val>
            <c:numRef>
              <c:f>'PIVOT TABLE'!$E$8:$E$10</c:f>
              <c:numCache>
                <c:formatCode>General</c:formatCode>
                <c:ptCount val="2"/>
                <c:pt idx="0">
                  <c:v>1178</c:v>
                </c:pt>
                <c:pt idx="1">
                  <c:v>458</c:v>
                </c:pt>
              </c:numCache>
            </c:numRef>
          </c:val>
          <c:extLst>
            <c:ext xmlns:c16="http://schemas.microsoft.com/office/drawing/2014/chart" uri="{C3380CC4-5D6E-409C-BE32-E72D297353CC}">
              <c16:uniqueId val="{00000002-93EF-442D-BF57-1DDEBB35A94D}"/>
            </c:ext>
          </c:extLst>
        </c:ser>
        <c:dLbls>
          <c:showLegendKey val="0"/>
          <c:showVal val="0"/>
          <c:showCatName val="0"/>
          <c:showSerName val="0"/>
          <c:showPercent val="0"/>
          <c:showBubbleSize val="0"/>
        </c:dLbls>
        <c:gapWidth val="219"/>
        <c:overlap val="-27"/>
        <c:axId val="983224944"/>
        <c:axId val="1"/>
      </c:barChart>
      <c:catAx>
        <c:axId val="98322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24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w="25400">
            <a:noFill/>
          </a:ln>
          <a:effectLst/>
        </c:spPr>
        <c:marker>
          <c:symbol val="none"/>
        </c:marker>
      </c:pivotFmt>
    </c:pivotFmts>
    <c:plotArea>
      <c:layout/>
      <c:areaChart>
        <c:grouping val="standard"/>
        <c:varyColors val="0"/>
        <c:ser>
          <c:idx val="0"/>
          <c:order val="0"/>
          <c:tx>
            <c:strRef>
              <c:f>'PIVOT TABLE'!$C$24:$C$25</c:f>
              <c:strCache>
                <c:ptCount val="1"/>
                <c:pt idx="0">
                  <c:v>Female</c:v>
                </c:pt>
              </c:strCache>
            </c:strRef>
          </c:tx>
          <c:spPr>
            <a:solidFill>
              <a:schemeClr val="accent1"/>
            </a:solidFill>
            <a:ln>
              <a:noFill/>
            </a:ln>
            <a:effectLst/>
          </c:spPr>
          <c:cat>
            <c:strRef>
              <c:f>'PIVOT TABLE'!$B$26:$B$49</c:f>
              <c:strCache>
                <c:ptCount val="23"/>
                <c:pt idx="0">
                  <c:v>21</c:v>
                </c:pt>
                <c:pt idx="1">
                  <c:v>23</c:v>
                </c:pt>
                <c:pt idx="2">
                  <c:v>24</c:v>
                </c:pt>
                <c:pt idx="3">
                  <c:v>25</c:v>
                </c:pt>
                <c:pt idx="4">
                  <c:v>26</c:v>
                </c:pt>
                <c:pt idx="5">
                  <c:v>27</c:v>
                </c:pt>
                <c:pt idx="6">
                  <c:v>28</c:v>
                </c:pt>
                <c:pt idx="7">
                  <c:v>29</c:v>
                </c:pt>
                <c:pt idx="8">
                  <c:v>31</c:v>
                </c:pt>
                <c:pt idx="9">
                  <c:v>32</c:v>
                </c:pt>
                <c:pt idx="10">
                  <c:v>34</c:v>
                </c:pt>
                <c:pt idx="11">
                  <c:v>35</c:v>
                </c:pt>
                <c:pt idx="12">
                  <c:v>36</c:v>
                </c:pt>
                <c:pt idx="13">
                  <c:v>37</c:v>
                </c:pt>
                <c:pt idx="14">
                  <c:v>38</c:v>
                </c:pt>
                <c:pt idx="15">
                  <c:v>39</c:v>
                </c:pt>
                <c:pt idx="16">
                  <c:v>40</c:v>
                </c:pt>
                <c:pt idx="17">
                  <c:v>41</c:v>
                </c:pt>
                <c:pt idx="18">
                  <c:v>42</c:v>
                </c:pt>
                <c:pt idx="19">
                  <c:v>46</c:v>
                </c:pt>
                <c:pt idx="20">
                  <c:v>52</c:v>
                </c:pt>
                <c:pt idx="21">
                  <c:v>56</c:v>
                </c:pt>
                <c:pt idx="22">
                  <c:v>58</c:v>
                </c:pt>
              </c:strCache>
            </c:strRef>
          </c:cat>
          <c:val>
            <c:numRef>
              <c:f>'PIVOT TABLE'!$C$26:$C$49</c:f>
              <c:numCache>
                <c:formatCode>General</c:formatCode>
                <c:ptCount val="23"/>
                <c:pt idx="1">
                  <c:v>2</c:v>
                </c:pt>
                <c:pt idx="2">
                  <c:v>2</c:v>
                </c:pt>
                <c:pt idx="3">
                  <c:v>6</c:v>
                </c:pt>
                <c:pt idx="4">
                  <c:v>4</c:v>
                </c:pt>
                <c:pt idx="5">
                  <c:v>4</c:v>
                </c:pt>
                <c:pt idx="6">
                  <c:v>10</c:v>
                </c:pt>
                <c:pt idx="7">
                  <c:v>6</c:v>
                </c:pt>
                <c:pt idx="8">
                  <c:v>2</c:v>
                </c:pt>
                <c:pt idx="9">
                  <c:v>6</c:v>
                </c:pt>
                <c:pt idx="10">
                  <c:v>4</c:v>
                </c:pt>
                <c:pt idx="11">
                  <c:v>2</c:v>
                </c:pt>
                <c:pt idx="12">
                  <c:v>2</c:v>
                </c:pt>
                <c:pt idx="13">
                  <c:v>6</c:v>
                </c:pt>
                <c:pt idx="15">
                  <c:v>6</c:v>
                </c:pt>
                <c:pt idx="16">
                  <c:v>2</c:v>
                </c:pt>
                <c:pt idx="18">
                  <c:v>2</c:v>
                </c:pt>
                <c:pt idx="19">
                  <c:v>4</c:v>
                </c:pt>
                <c:pt idx="20">
                  <c:v>2</c:v>
                </c:pt>
                <c:pt idx="21">
                  <c:v>2</c:v>
                </c:pt>
                <c:pt idx="22">
                  <c:v>2</c:v>
                </c:pt>
              </c:numCache>
            </c:numRef>
          </c:val>
          <c:extLst>
            <c:ext xmlns:c16="http://schemas.microsoft.com/office/drawing/2014/chart" uri="{C3380CC4-5D6E-409C-BE32-E72D297353CC}">
              <c16:uniqueId val="{00000000-4E46-46E1-8DEE-3978FB71A681}"/>
            </c:ext>
          </c:extLst>
        </c:ser>
        <c:ser>
          <c:idx val="1"/>
          <c:order val="1"/>
          <c:tx>
            <c:strRef>
              <c:f>'PIVOT TABLE'!$D$24:$D$25</c:f>
              <c:strCache>
                <c:ptCount val="1"/>
                <c:pt idx="0">
                  <c:v>Male</c:v>
                </c:pt>
              </c:strCache>
            </c:strRef>
          </c:tx>
          <c:spPr>
            <a:solidFill>
              <a:schemeClr val="accent2"/>
            </a:solidFill>
            <a:ln w="25400">
              <a:noFill/>
            </a:ln>
            <a:effectLst/>
          </c:spPr>
          <c:cat>
            <c:strRef>
              <c:f>'PIVOT TABLE'!$B$26:$B$49</c:f>
              <c:strCache>
                <c:ptCount val="23"/>
                <c:pt idx="0">
                  <c:v>21</c:v>
                </c:pt>
                <c:pt idx="1">
                  <c:v>23</c:v>
                </c:pt>
                <c:pt idx="2">
                  <c:v>24</c:v>
                </c:pt>
                <c:pt idx="3">
                  <c:v>25</c:v>
                </c:pt>
                <c:pt idx="4">
                  <c:v>26</c:v>
                </c:pt>
                <c:pt idx="5">
                  <c:v>27</c:v>
                </c:pt>
                <c:pt idx="6">
                  <c:v>28</c:v>
                </c:pt>
                <c:pt idx="7">
                  <c:v>29</c:v>
                </c:pt>
                <c:pt idx="8">
                  <c:v>31</c:v>
                </c:pt>
                <c:pt idx="9">
                  <c:v>32</c:v>
                </c:pt>
                <c:pt idx="10">
                  <c:v>34</c:v>
                </c:pt>
                <c:pt idx="11">
                  <c:v>35</c:v>
                </c:pt>
                <c:pt idx="12">
                  <c:v>36</c:v>
                </c:pt>
                <c:pt idx="13">
                  <c:v>37</c:v>
                </c:pt>
                <c:pt idx="14">
                  <c:v>38</c:v>
                </c:pt>
                <c:pt idx="15">
                  <c:v>39</c:v>
                </c:pt>
                <c:pt idx="16">
                  <c:v>40</c:v>
                </c:pt>
                <c:pt idx="17">
                  <c:v>41</c:v>
                </c:pt>
                <c:pt idx="18">
                  <c:v>42</c:v>
                </c:pt>
                <c:pt idx="19">
                  <c:v>46</c:v>
                </c:pt>
                <c:pt idx="20">
                  <c:v>52</c:v>
                </c:pt>
                <c:pt idx="21">
                  <c:v>56</c:v>
                </c:pt>
                <c:pt idx="22">
                  <c:v>58</c:v>
                </c:pt>
              </c:strCache>
            </c:strRef>
          </c:cat>
          <c:val>
            <c:numRef>
              <c:f>'PIVOT TABLE'!$D$26:$D$49</c:f>
              <c:numCache>
                <c:formatCode>General</c:formatCode>
                <c:ptCount val="23"/>
                <c:pt idx="0">
                  <c:v>2</c:v>
                </c:pt>
                <c:pt idx="2">
                  <c:v>4</c:v>
                </c:pt>
                <c:pt idx="4">
                  <c:v>6</c:v>
                </c:pt>
                <c:pt idx="12">
                  <c:v>4</c:v>
                </c:pt>
                <c:pt idx="13">
                  <c:v>2</c:v>
                </c:pt>
                <c:pt idx="14">
                  <c:v>2</c:v>
                </c:pt>
                <c:pt idx="15">
                  <c:v>2</c:v>
                </c:pt>
                <c:pt idx="17">
                  <c:v>2</c:v>
                </c:pt>
              </c:numCache>
            </c:numRef>
          </c:val>
          <c:extLst>
            <c:ext xmlns:c16="http://schemas.microsoft.com/office/drawing/2014/chart" uri="{C3380CC4-5D6E-409C-BE32-E72D297353CC}">
              <c16:uniqueId val="{00000004-1855-4FAC-9F72-6A7308189014}"/>
            </c:ext>
          </c:extLst>
        </c:ser>
        <c:dLbls>
          <c:showLegendKey val="0"/>
          <c:showVal val="0"/>
          <c:showCatName val="0"/>
          <c:showSerName val="0"/>
          <c:showPercent val="0"/>
          <c:showBubbleSize val="0"/>
        </c:dLbls>
        <c:axId val="1058246128"/>
        <c:axId val="1058243632"/>
      </c:areaChart>
      <c:catAx>
        <c:axId val="105824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43632"/>
        <c:crosses val="autoZero"/>
        <c:auto val="1"/>
        <c:lblAlgn val="ctr"/>
        <c:lblOffset val="100"/>
        <c:noMultiLvlLbl val="0"/>
      </c:catAx>
      <c:valAx>
        <c:axId val="105824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4612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GENDER FROM EACH COUNTRY</a:t>
            </a:r>
            <a:endParaRPr lang="en-GB"/>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3"/>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3"/>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3"/>
          </a:solidFill>
          <a:ln>
            <a:noFill/>
          </a:ln>
          <a:effectLst/>
        </c:spPr>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s>
    <c:plotArea>
      <c:layout/>
      <c:barChart>
        <c:barDir val="col"/>
        <c:grouping val="clustered"/>
        <c:varyColors val="0"/>
        <c:ser>
          <c:idx val="0"/>
          <c:order val="0"/>
          <c:tx>
            <c:strRef>
              <c:f>'PIVOT TABLE'!$C$6:$C$7</c:f>
              <c:strCache>
                <c:ptCount val="1"/>
                <c:pt idx="0">
                  <c:v>France</c:v>
                </c:pt>
              </c:strCache>
            </c:strRef>
          </c:tx>
          <c:invertIfNegative val="0"/>
          <c:cat>
            <c:strRef>
              <c:f>'PIVOT TABLE'!$B$8:$B$10</c:f>
              <c:strCache>
                <c:ptCount val="2"/>
                <c:pt idx="0">
                  <c:v>Female</c:v>
                </c:pt>
                <c:pt idx="1">
                  <c:v>Male</c:v>
                </c:pt>
              </c:strCache>
            </c:strRef>
          </c:cat>
          <c:val>
            <c:numRef>
              <c:f>'PIVOT TABLE'!$C$8:$C$10</c:f>
              <c:numCache>
                <c:formatCode>General</c:formatCode>
                <c:ptCount val="2"/>
                <c:pt idx="0">
                  <c:v>524</c:v>
                </c:pt>
                <c:pt idx="1">
                  <c:v>238</c:v>
                </c:pt>
              </c:numCache>
            </c:numRef>
          </c:val>
          <c:extLst>
            <c:ext xmlns:c16="http://schemas.microsoft.com/office/drawing/2014/chart" uri="{C3380CC4-5D6E-409C-BE32-E72D297353CC}">
              <c16:uniqueId val="{00000000-1F00-4A11-92A2-0C3A0F81CF34}"/>
            </c:ext>
          </c:extLst>
        </c:ser>
        <c:ser>
          <c:idx val="1"/>
          <c:order val="1"/>
          <c:tx>
            <c:strRef>
              <c:f>'PIVOT TABLE'!$D$6:$D$7</c:f>
              <c:strCache>
                <c:ptCount val="1"/>
                <c:pt idx="0">
                  <c:v>Great Britain</c:v>
                </c:pt>
              </c:strCache>
            </c:strRef>
          </c:tx>
          <c:invertIfNegative val="0"/>
          <c:cat>
            <c:strRef>
              <c:f>'PIVOT TABLE'!$B$8:$B$10</c:f>
              <c:strCache>
                <c:ptCount val="2"/>
                <c:pt idx="0">
                  <c:v>Female</c:v>
                </c:pt>
                <c:pt idx="1">
                  <c:v>Male</c:v>
                </c:pt>
              </c:strCache>
            </c:strRef>
          </c:cat>
          <c:val>
            <c:numRef>
              <c:f>'PIVOT TABLE'!$D$8:$D$10</c:f>
              <c:numCache>
                <c:formatCode>General</c:formatCode>
                <c:ptCount val="2"/>
                <c:pt idx="0">
                  <c:v>876</c:v>
                </c:pt>
                <c:pt idx="1">
                  <c:v>52</c:v>
                </c:pt>
              </c:numCache>
            </c:numRef>
          </c:val>
          <c:extLst>
            <c:ext xmlns:c16="http://schemas.microsoft.com/office/drawing/2014/chart" uri="{C3380CC4-5D6E-409C-BE32-E72D297353CC}">
              <c16:uniqueId val="{00000000-6BF1-4092-8049-2531AD56D2F1}"/>
            </c:ext>
          </c:extLst>
        </c:ser>
        <c:ser>
          <c:idx val="2"/>
          <c:order val="2"/>
          <c:tx>
            <c:strRef>
              <c:f>'PIVOT TABLE'!$E$6:$E$7</c:f>
              <c:strCache>
                <c:ptCount val="1"/>
                <c:pt idx="0">
                  <c:v>United States</c:v>
                </c:pt>
              </c:strCache>
            </c:strRef>
          </c:tx>
          <c:invertIfNegative val="0"/>
          <c:cat>
            <c:strRef>
              <c:f>'PIVOT TABLE'!$B$8:$B$10</c:f>
              <c:strCache>
                <c:ptCount val="2"/>
                <c:pt idx="0">
                  <c:v>Female</c:v>
                </c:pt>
                <c:pt idx="1">
                  <c:v>Male</c:v>
                </c:pt>
              </c:strCache>
            </c:strRef>
          </c:cat>
          <c:val>
            <c:numRef>
              <c:f>'PIVOT TABLE'!$E$8:$E$10</c:f>
              <c:numCache>
                <c:formatCode>General</c:formatCode>
                <c:ptCount val="2"/>
                <c:pt idx="0">
                  <c:v>1178</c:v>
                </c:pt>
                <c:pt idx="1">
                  <c:v>458</c:v>
                </c:pt>
              </c:numCache>
            </c:numRef>
          </c:val>
          <c:extLst>
            <c:ext xmlns:c16="http://schemas.microsoft.com/office/drawing/2014/chart" uri="{C3380CC4-5D6E-409C-BE32-E72D297353CC}">
              <c16:uniqueId val="{00000002-6BF1-4092-8049-2531AD56D2F1}"/>
            </c:ext>
          </c:extLst>
        </c:ser>
        <c:dLbls>
          <c:showLegendKey val="0"/>
          <c:showVal val="0"/>
          <c:showCatName val="0"/>
          <c:showSerName val="0"/>
          <c:showPercent val="0"/>
          <c:showBubbleSize val="0"/>
        </c:dLbls>
        <c:gapWidth val="219"/>
        <c:overlap val="-27"/>
        <c:axId val="983224944"/>
        <c:axId val="1"/>
      </c:barChart>
      <c:catAx>
        <c:axId val="98322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24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PROJECT.xlsx]PIVOT 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w="25400">
            <a:noFill/>
          </a:ln>
          <a:effectLst/>
        </c:spPr>
        <c:marker>
          <c:symbol val="none"/>
        </c:marker>
      </c:pivotFmt>
    </c:pivotFmts>
    <c:plotArea>
      <c:layout/>
      <c:areaChart>
        <c:grouping val="standard"/>
        <c:varyColors val="0"/>
        <c:ser>
          <c:idx val="0"/>
          <c:order val="0"/>
          <c:tx>
            <c:strRef>
              <c:f>'PIVOT TABLE'!$C$24:$C$25</c:f>
              <c:strCache>
                <c:ptCount val="1"/>
                <c:pt idx="0">
                  <c:v>Female</c:v>
                </c:pt>
              </c:strCache>
            </c:strRef>
          </c:tx>
          <c:spPr>
            <a:solidFill>
              <a:schemeClr val="accent1"/>
            </a:solidFill>
            <a:ln>
              <a:noFill/>
            </a:ln>
            <a:effectLst/>
          </c:spPr>
          <c:cat>
            <c:strRef>
              <c:f>'PIVOT TABLE'!$B$26:$B$49</c:f>
              <c:strCache>
                <c:ptCount val="23"/>
                <c:pt idx="0">
                  <c:v>21</c:v>
                </c:pt>
                <c:pt idx="1">
                  <c:v>23</c:v>
                </c:pt>
                <c:pt idx="2">
                  <c:v>24</c:v>
                </c:pt>
                <c:pt idx="3">
                  <c:v>25</c:v>
                </c:pt>
                <c:pt idx="4">
                  <c:v>26</c:v>
                </c:pt>
                <c:pt idx="5">
                  <c:v>27</c:v>
                </c:pt>
                <c:pt idx="6">
                  <c:v>28</c:v>
                </c:pt>
                <c:pt idx="7">
                  <c:v>29</c:v>
                </c:pt>
                <c:pt idx="8">
                  <c:v>31</c:v>
                </c:pt>
                <c:pt idx="9">
                  <c:v>32</c:v>
                </c:pt>
                <c:pt idx="10">
                  <c:v>34</c:v>
                </c:pt>
                <c:pt idx="11">
                  <c:v>35</c:v>
                </c:pt>
                <c:pt idx="12">
                  <c:v>36</c:v>
                </c:pt>
                <c:pt idx="13">
                  <c:v>37</c:v>
                </c:pt>
                <c:pt idx="14">
                  <c:v>38</c:v>
                </c:pt>
                <c:pt idx="15">
                  <c:v>39</c:v>
                </c:pt>
                <c:pt idx="16">
                  <c:v>40</c:v>
                </c:pt>
                <c:pt idx="17">
                  <c:v>41</c:v>
                </c:pt>
                <c:pt idx="18">
                  <c:v>42</c:v>
                </c:pt>
                <c:pt idx="19">
                  <c:v>46</c:v>
                </c:pt>
                <c:pt idx="20">
                  <c:v>52</c:v>
                </c:pt>
                <c:pt idx="21">
                  <c:v>56</c:v>
                </c:pt>
                <c:pt idx="22">
                  <c:v>58</c:v>
                </c:pt>
              </c:strCache>
            </c:strRef>
          </c:cat>
          <c:val>
            <c:numRef>
              <c:f>'PIVOT TABLE'!$C$26:$C$49</c:f>
              <c:numCache>
                <c:formatCode>General</c:formatCode>
                <c:ptCount val="23"/>
                <c:pt idx="1">
                  <c:v>2</c:v>
                </c:pt>
                <c:pt idx="2">
                  <c:v>2</c:v>
                </c:pt>
                <c:pt idx="3">
                  <c:v>6</c:v>
                </c:pt>
                <c:pt idx="4">
                  <c:v>4</c:v>
                </c:pt>
                <c:pt idx="5">
                  <c:v>4</c:v>
                </c:pt>
                <c:pt idx="6">
                  <c:v>10</c:v>
                </c:pt>
                <c:pt idx="7">
                  <c:v>6</c:v>
                </c:pt>
                <c:pt idx="8">
                  <c:v>2</c:v>
                </c:pt>
                <c:pt idx="9">
                  <c:v>6</c:v>
                </c:pt>
                <c:pt idx="10">
                  <c:v>4</c:v>
                </c:pt>
                <c:pt idx="11">
                  <c:v>2</c:v>
                </c:pt>
                <c:pt idx="12">
                  <c:v>2</c:v>
                </c:pt>
                <c:pt idx="13">
                  <c:v>6</c:v>
                </c:pt>
                <c:pt idx="15">
                  <c:v>6</c:v>
                </c:pt>
                <c:pt idx="16">
                  <c:v>2</c:v>
                </c:pt>
                <c:pt idx="18">
                  <c:v>2</c:v>
                </c:pt>
                <c:pt idx="19">
                  <c:v>4</c:v>
                </c:pt>
                <c:pt idx="20">
                  <c:v>2</c:v>
                </c:pt>
                <c:pt idx="21">
                  <c:v>2</c:v>
                </c:pt>
                <c:pt idx="22">
                  <c:v>2</c:v>
                </c:pt>
              </c:numCache>
            </c:numRef>
          </c:val>
          <c:extLst>
            <c:ext xmlns:c16="http://schemas.microsoft.com/office/drawing/2014/chart" uri="{C3380CC4-5D6E-409C-BE32-E72D297353CC}">
              <c16:uniqueId val="{00000000-8378-428C-8AF1-1855BD1FDC6C}"/>
            </c:ext>
          </c:extLst>
        </c:ser>
        <c:ser>
          <c:idx val="1"/>
          <c:order val="1"/>
          <c:tx>
            <c:strRef>
              <c:f>'PIVOT TABLE'!$D$24:$D$25</c:f>
              <c:strCache>
                <c:ptCount val="1"/>
                <c:pt idx="0">
                  <c:v>Male</c:v>
                </c:pt>
              </c:strCache>
            </c:strRef>
          </c:tx>
          <c:spPr>
            <a:solidFill>
              <a:schemeClr val="accent2"/>
            </a:solidFill>
            <a:ln w="25400">
              <a:noFill/>
            </a:ln>
            <a:effectLst/>
          </c:spPr>
          <c:cat>
            <c:strRef>
              <c:f>'PIVOT TABLE'!$B$26:$B$49</c:f>
              <c:strCache>
                <c:ptCount val="23"/>
                <c:pt idx="0">
                  <c:v>21</c:v>
                </c:pt>
                <c:pt idx="1">
                  <c:v>23</c:v>
                </c:pt>
                <c:pt idx="2">
                  <c:v>24</c:v>
                </c:pt>
                <c:pt idx="3">
                  <c:v>25</c:v>
                </c:pt>
                <c:pt idx="4">
                  <c:v>26</c:v>
                </c:pt>
                <c:pt idx="5">
                  <c:v>27</c:v>
                </c:pt>
                <c:pt idx="6">
                  <c:v>28</c:v>
                </c:pt>
                <c:pt idx="7">
                  <c:v>29</c:v>
                </c:pt>
                <c:pt idx="8">
                  <c:v>31</c:v>
                </c:pt>
                <c:pt idx="9">
                  <c:v>32</c:v>
                </c:pt>
                <c:pt idx="10">
                  <c:v>34</c:v>
                </c:pt>
                <c:pt idx="11">
                  <c:v>35</c:v>
                </c:pt>
                <c:pt idx="12">
                  <c:v>36</c:v>
                </c:pt>
                <c:pt idx="13">
                  <c:v>37</c:v>
                </c:pt>
                <c:pt idx="14">
                  <c:v>38</c:v>
                </c:pt>
                <c:pt idx="15">
                  <c:v>39</c:v>
                </c:pt>
                <c:pt idx="16">
                  <c:v>40</c:v>
                </c:pt>
                <c:pt idx="17">
                  <c:v>41</c:v>
                </c:pt>
                <c:pt idx="18">
                  <c:v>42</c:v>
                </c:pt>
                <c:pt idx="19">
                  <c:v>46</c:v>
                </c:pt>
                <c:pt idx="20">
                  <c:v>52</c:v>
                </c:pt>
                <c:pt idx="21">
                  <c:v>56</c:v>
                </c:pt>
                <c:pt idx="22">
                  <c:v>58</c:v>
                </c:pt>
              </c:strCache>
            </c:strRef>
          </c:cat>
          <c:val>
            <c:numRef>
              <c:f>'PIVOT TABLE'!$D$26:$D$49</c:f>
              <c:numCache>
                <c:formatCode>General</c:formatCode>
                <c:ptCount val="23"/>
                <c:pt idx="0">
                  <c:v>2</c:v>
                </c:pt>
                <c:pt idx="2">
                  <c:v>4</c:v>
                </c:pt>
                <c:pt idx="4">
                  <c:v>6</c:v>
                </c:pt>
                <c:pt idx="12">
                  <c:v>4</c:v>
                </c:pt>
                <c:pt idx="13">
                  <c:v>2</c:v>
                </c:pt>
                <c:pt idx="14">
                  <c:v>2</c:v>
                </c:pt>
                <c:pt idx="15">
                  <c:v>2</c:v>
                </c:pt>
                <c:pt idx="17">
                  <c:v>2</c:v>
                </c:pt>
              </c:numCache>
            </c:numRef>
          </c:val>
          <c:extLst>
            <c:ext xmlns:c16="http://schemas.microsoft.com/office/drawing/2014/chart" uri="{C3380CC4-5D6E-409C-BE32-E72D297353CC}">
              <c16:uniqueId val="{00000002-8378-428C-8AF1-1855BD1FDC6C}"/>
            </c:ext>
          </c:extLst>
        </c:ser>
        <c:dLbls>
          <c:showLegendKey val="0"/>
          <c:showVal val="0"/>
          <c:showCatName val="0"/>
          <c:showSerName val="0"/>
          <c:showPercent val="0"/>
          <c:showBubbleSize val="0"/>
        </c:dLbls>
        <c:axId val="1058246128"/>
        <c:axId val="1058243632"/>
      </c:areaChart>
      <c:catAx>
        <c:axId val="105824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43632"/>
        <c:crosses val="autoZero"/>
        <c:auto val="1"/>
        <c:lblAlgn val="ctr"/>
        <c:lblOffset val="100"/>
        <c:noMultiLvlLbl val="0"/>
      </c:catAx>
      <c:valAx>
        <c:axId val="1058243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24612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579120</xdr:colOff>
      <xdr:row>2</xdr:row>
      <xdr:rowOff>30480</xdr:rowOff>
    </xdr:from>
    <xdr:to>
      <xdr:col>14</xdr:col>
      <xdr:colOff>274320</xdr:colOff>
      <xdr:row>18</xdr:row>
      <xdr:rowOff>91440</xdr:rowOff>
    </xdr:to>
    <xdr:graphicFrame macro="">
      <xdr:nvGraphicFramePr>
        <xdr:cNvPr id="3074"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21</xdr:row>
      <xdr:rowOff>0</xdr:rowOff>
    </xdr:from>
    <xdr:to>
      <xdr:col>14</xdr:col>
      <xdr:colOff>266700</xdr:colOff>
      <xdr:row>37</xdr:row>
      <xdr:rowOff>60960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38100</xdr:rowOff>
    </xdr:from>
    <xdr:to>
      <xdr:col>6</xdr:col>
      <xdr:colOff>495300</xdr:colOff>
      <xdr:row>19</xdr:row>
      <xdr:rowOff>7620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533400</xdr:colOff>
      <xdr:row>5</xdr:row>
      <xdr:rowOff>53341</xdr:rowOff>
    </xdr:from>
    <xdr:to>
      <xdr:col>9</xdr:col>
      <xdr:colOff>15240</xdr:colOff>
      <xdr:row>9</xdr:row>
      <xdr:rowOff>160021</xdr:rowOff>
    </xdr:to>
    <mc:AlternateContent xmlns:mc="http://schemas.openxmlformats.org/markup-compatibility/2006" xmlns:a14="http://schemas.microsoft.com/office/drawing/2010/main">
      <mc:Choice Requires="a14">
        <xdr:graphicFrame macro="">
          <xdr:nvGraphicFramePr>
            <xdr:cNvPr id="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191000" y="891541"/>
              <a:ext cx="1310640" cy="777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533400</xdr:colOff>
      <xdr:row>10</xdr:row>
      <xdr:rowOff>30481</xdr:rowOff>
    </xdr:from>
    <xdr:to>
      <xdr:col>9</xdr:col>
      <xdr:colOff>30480</xdr:colOff>
      <xdr:row>16</xdr:row>
      <xdr:rowOff>30481</xdr:rowOff>
    </xdr:to>
    <mc:AlternateContent xmlns:mc="http://schemas.openxmlformats.org/markup-compatibility/2006" xmlns:a14="http://schemas.microsoft.com/office/drawing/2010/main">
      <mc:Choice Requires="a14">
        <xdr:graphicFrame macro="">
          <xdr:nvGraphicFramePr>
            <xdr:cNvPr id="5"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191000" y="1706881"/>
              <a:ext cx="1325880" cy="1005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533400</xdr:colOff>
      <xdr:row>16</xdr:row>
      <xdr:rowOff>45721</xdr:rowOff>
    </xdr:from>
    <xdr:to>
      <xdr:col>9</xdr:col>
      <xdr:colOff>15240</xdr:colOff>
      <xdr:row>21</xdr:row>
      <xdr:rowOff>76201</xdr:rowOff>
    </xdr:to>
    <mc:AlternateContent xmlns:mc="http://schemas.openxmlformats.org/markup-compatibility/2006" xmlns:a14="http://schemas.microsoft.com/office/drawing/2010/main">
      <mc:Choice Requires="a14">
        <xdr:graphicFrame macro="">
          <xdr:nvGraphicFramePr>
            <xdr:cNvPr id="6"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4191000" y="2727961"/>
              <a:ext cx="1310640" cy="8686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525780</xdr:colOff>
      <xdr:row>21</xdr:row>
      <xdr:rowOff>129541</xdr:rowOff>
    </xdr:from>
    <xdr:to>
      <xdr:col>9</xdr:col>
      <xdr:colOff>22860</xdr:colOff>
      <xdr:row>28</xdr:row>
      <xdr:rowOff>68580</xdr:rowOff>
    </xdr:to>
    <mc:AlternateContent xmlns:mc="http://schemas.openxmlformats.org/markup-compatibility/2006" xmlns:a14="http://schemas.microsoft.com/office/drawing/2010/main">
      <mc:Choice Requires="a14">
        <xdr:graphicFrame macro="">
          <xdr:nvGraphicFramePr>
            <xdr:cNvPr id="7" name="Age Bracket"/>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4183380" y="3649981"/>
              <a:ext cx="1325880" cy="11125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76200</xdr:rowOff>
    </xdr:from>
    <xdr:to>
      <xdr:col>6</xdr:col>
      <xdr:colOff>533400</xdr:colOff>
      <xdr:row>32</xdr:row>
      <xdr:rowOff>137160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MILARE EMMANUEL OLATUNJI" refreshedDate="45231.552250000001" createdVersion="6" refreshedVersion="6" recordCount="100">
  <cacheSource type="worksheet">
    <worksheetSource ref="A1:J101" sheet="WORKING SHEET"/>
  </cacheSource>
  <cacheFields count="10">
    <cacheField name="0" numFmtId="0">
      <sharedItems containsSemiMixedTypes="0" containsString="0" containsNumber="1" containsInteger="1" minValue="1" maxValue="100"/>
    </cacheField>
    <cacheField name="First Name" numFmtId="0">
      <sharedItems/>
    </cacheField>
    <cacheField name="First and last name" numFmtId="0">
      <sharedItems/>
    </cacheField>
    <cacheField name="Last Name" numFmtId="0">
      <sharedItems/>
    </cacheField>
    <cacheField name="Gender" numFmtId="0">
      <sharedItems count="2">
        <s v="Female"/>
        <s v="Male"/>
      </sharedItems>
    </cacheField>
    <cacheField name="Country" numFmtId="0">
      <sharedItems count="3">
        <s v="United States"/>
        <s v="Great Britain"/>
        <s v="France"/>
      </sharedItems>
    </cacheField>
    <cacheField name="Age Bracket" numFmtId="0">
      <sharedItems count="3">
        <s v="Middle Age"/>
        <s v="Adolecence"/>
        <s v="Old"/>
      </sharedItems>
    </cacheField>
    <cacheField name="Age" numFmtId="0">
      <sharedItems containsSemiMixedTypes="0" containsString="0" containsNumber="1" containsInteger="1" minValue="21" maxValue="58" count="23">
        <n v="32"/>
        <n v="25"/>
        <n v="36"/>
        <n v="58"/>
        <n v="24"/>
        <n v="56"/>
        <n v="27"/>
        <n v="40"/>
        <n v="28"/>
        <n v="39"/>
        <n v="38"/>
        <n v="26"/>
        <n v="31"/>
        <n v="46"/>
        <n v="37"/>
        <n v="52"/>
        <n v="42"/>
        <n v="21"/>
        <n v="29"/>
        <n v="23"/>
        <n v="41"/>
        <n v="34"/>
        <n v="35"/>
      </sharedItems>
    </cacheField>
    <cacheField name="Date" numFmtId="0">
      <sharedItems/>
    </cacheField>
    <cacheField name="Id" numFmtId="0">
      <sharedItems containsSemiMixedTypes="0" containsString="0" containsNumber="1" containsInteger="1" minValue="1258" maxValue="965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n v="1"/>
    <s v="Dulce"/>
    <s v="Dulce Abril"/>
    <s v="Abril"/>
    <x v="0"/>
    <x v="0"/>
    <x v="0"/>
    <x v="0"/>
    <s v="15/10/2017"/>
    <n v="1562"/>
  </r>
  <r>
    <n v="2"/>
    <s v="Mara"/>
    <s v="Mara Hashimoto"/>
    <s v="Hashimoto"/>
    <x v="0"/>
    <x v="1"/>
    <x v="1"/>
    <x v="1"/>
    <s v="16/08/2016"/>
    <n v="1582"/>
  </r>
  <r>
    <n v="3"/>
    <s v="Philip"/>
    <s v="Philip Gent"/>
    <s v="Gent"/>
    <x v="1"/>
    <x v="2"/>
    <x v="0"/>
    <x v="2"/>
    <s v="21/05/2015"/>
    <n v="2587"/>
  </r>
  <r>
    <n v="4"/>
    <s v="Kathleen"/>
    <s v="Kathleen Hanner"/>
    <s v="Hanner"/>
    <x v="0"/>
    <x v="0"/>
    <x v="1"/>
    <x v="1"/>
    <s v="15/10/2017"/>
    <n v="3549"/>
  </r>
  <r>
    <n v="5"/>
    <s v="Nereida"/>
    <s v="Nereida Magwood"/>
    <s v="Magwood"/>
    <x v="0"/>
    <x v="0"/>
    <x v="2"/>
    <x v="3"/>
    <s v="16/08/2016"/>
    <n v="2468"/>
  </r>
  <r>
    <n v="6"/>
    <s v="Gaston"/>
    <s v="Gaston Brumm"/>
    <s v="Brumm"/>
    <x v="1"/>
    <x v="0"/>
    <x v="1"/>
    <x v="4"/>
    <s v="21/05/2015"/>
    <n v="2554"/>
  </r>
  <r>
    <n v="7"/>
    <s v="Etta"/>
    <s v="Etta Hurn"/>
    <s v="Hurn"/>
    <x v="0"/>
    <x v="1"/>
    <x v="2"/>
    <x v="5"/>
    <s v="15/10/2017"/>
    <n v="3598"/>
  </r>
  <r>
    <n v="8"/>
    <s v="Earlean"/>
    <s v="Earlean Melgar"/>
    <s v="Melgar"/>
    <x v="0"/>
    <x v="0"/>
    <x v="1"/>
    <x v="6"/>
    <s v="16/08/2016"/>
    <n v="2456"/>
  </r>
  <r>
    <n v="9"/>
    <s v="Vincenza"/>
    <s v="Vincenza Weiland"/>
    <s v="Weiland"/>
    <x v="0"/>
    <x v="0"/>
    <x v="0"/>
    <x v="7"/>
    <s v="21/05/2015"/>
    <n v="6548"/>
  </r>
  <r>
    <n v="10"/>
    <s v="Fallon"/>
    <s v="Fallon Winward"/>
    <s v="Winward"/>
    <x v="0"/>
    <x v="1"/>
    <x v="1"/>
    <x v="8"/>
    <s v="16/08/2016"/>
    <n v="5486"/>
  </r>
  <r>
    <n v="11"/>
    <s v="Arcelia"/>
    <s v="Arcelia Bouska"/>
    <s v="Bouska"/>
    <x v="0"/>
    <x v="1"/>
    <x v="0"/>
    <x v="9"/>
    <s v="21/05/2015"/>
    <n v="1258"/>
  </r>
  <r>
    <n v="12"/>
    <s v="Franklyn"/>
    <s v="Franklyn Unknow"/>
    <s v="Unknow"/>
    <x v="1"/>
    <x v="2"/>
    <x v="0"/>
    <x v="10"/>
    <s v="15/10/2017"/>
    <n v="2579"/>
  </r>
  <r>
    <n v="13"/>
    <s v="Sherron"/>
    <s v="Sherron Ascencio"/>
    <s v="Ascencio"/>
    <x v="0"/>
    <x v="1"/>
    <x v="0"/>
    <x v="0"/>
    <s v="16/08/2016"/>
    <n v="3256"/>
  </r>
  <r>
    <n v="14"/>
    <s v="Marcel"/>
    <s v="Marcel Zabriskie"/>
    <s v="Zabriskie"/>
    <x v="1"/>
    <x v="1"/>
    <x v="1"/>
    <x v="11"/>
    <s v="21/05/2015"/>
    <n v="2587"/>
  </r>
  <r>
    <n v="15"/>
    <s v="Kina"/>
    <s v="Kina Hazelton"/>
    <s v="Hazelton"/>
    <x v="0"/>
    <x v="1"/>
    <x v="0"/>
    <x v="12"/>
    <s v="16/08/2016"/>
    <n v="3259"/>
  </r>
  <r>
    <n v="16"/>
    <s v="Shavonne"/>
    <s v="Shavonne Pia"/>
    <s v="Pia"/>
    <x v="0"/>
    <x v="2"/>
    <x v="1"/>
    <x v="4"/>
    <s v="21/05/2015"/>
    <n v="1546"/>
  </r>
  <r>
    <n v="17"/>
    <s v="Shavon"/>
    <s v="Shavon Benito"/>
    <s v="Benito"/>
    <x v="0"/>
    <x v="2"/>
    <x v="0"/>
    <x v="9"/>
    <s v="15/10/2017"/>
    <n v="3579"/>
  </r>
  <r>
    <n v="18"/>
    <s v="Lauralee"/>
    <s v="Lauralee Perrine"/>
    <s v="Perrine"/>
    <x v="0"/>
    <x v="1"/>
    <x v="1"/>
    <x v="8"/>
    <s v="16/08/2016"/>
    <n v="6597"/>
  </r>
  <r>
    <n v="19"/>
    <s v="Loreta"/>
    <s v="Loreta Curren"/>
    <s v="Curren"/>
    <x v="0"/>
    <x v="2"/>
    <x v="1"/>
    <x v="11"/>
    <s v="21/05/2015"/>
    <n v="9654"/>
  </r>
  <r>
    <n v="20"/>
    <s v="Teresa"/>
    <s v="Teresa Strawn"/>
    <s v="Strawn"/>
    <x v="0"/>
    <x v="2"/>
    <x v="0"/>
    <x v="13"/>
    <s v="21/05/2015"/>
    <n v="3569"/>
  </r>
  <r>
    <n v="21"/>
    <s v="Belinda"/>
    <s v="Belinda Partain"/>
    <s v="Partain"/>
    <x v="0"/>
    <x v="0"/>
    <x v="0"/>
    <x v="14"/>
    <s v="15/10/2017"/>
    <n v="2564"/>
  </r>
  <r>
    <n v="22"/>
    <s v="Holly"/>
    <s v="Holly Eudy"/>
    <s v="Eudy"/>
    <x v="0"/>
    <x v="0"/>
    <x v="2"/>
    <x v="15"/>
    <s v="16/08/2016"/>
    <n v="8561"/>
  </r>
  <r>
    <n v="23"/>
    <s v="Many"/>
    <s v="Many Cuccia"/>
    <s v="Cuccia"/>
    <x v="0"/>
    <x v="1"/>
    <x v="0"/>
    <x v="13"/>
    <s v="21/05/2015"/>
    <n v="5489"/>
  </r>
  <r>
    <n v="24"/>
    <s v="Libbie"/>
    <s v="Libbie Dalby"/>
    <s v="Dalby"/>
    <x v="0"/>
    <x v="2"/>
    <x v="0"/>
    <x v="16"/>
    <s v="21/05/2015"/>
    <n v="5489"/>
  </r>
  <r>
    <n v="25"/>
    <s v="Lester"/>
    <s v="Lester Prothro"/>
    <s v="Prothro"/>
    <x v="1"/>
    <x v="2"/>
    <x v="1"/>
    <x v="17"/>
    <s v="15/10/2017"/>
    <n v="6574"/>
  </r>
  <r>
    <n v="26"/>
    <s v="Marvel"/>
    <s v="Marvel Hail"/>
    <s v="Hail"/>
    <x v="0"/>
    <x v="1"/>
    <x v="1"/>
    <x v="8"/>
    <s v="16/08/2016"/>
    <n v="5555"/>
  </r>
  <r>
    <n v="27"/>
    <s v="Angelyn"/>
    <s v="Angelyn Vong"/>
    <s v="Vong"/>
    <x v="0"/>
    <x v="0"/>
    <x v="1"/>
    <x v="18"/>
    <s v="21/05/2015"/>
    <n v="6125"/>
  </r>
  <r>
    <n v="28"/>
    <s v="Francesca"/>
    <s v="Francesca Beaudreau"/>
    <s v="Beaudreau"/>
    <x v="0"/>
    <x v="2"/>
    <x v="1"/>
    <x v="19"/>
    <s v="15/10/2017"/>
    <n v="5412"/>
  </r>
  <r>
    <n v="29"/>
    <s v="Garth"/>
    <s v="Garth Gangi"/>
    <s v="Gangi"/>
    <x v="1"/>
    <x v="0"/>
    <x v="0"/>
    <x v="20"/>
    <s v="16/08/2016"/>
    <n v="3256"/>
  </r>
  <r>
    <n v="30"/>
    <s v="Carla"/>
    <s v="Carla Trumbull"/>
    <s v="Trumbull"/>
    <x v="0"/>
    <x v="1"/>
    <x v="1"/>
    <x v="8"/>
    <s v="21/05/2015"/>
    <n v="3264"/>
  </r>
  <r>
    <n v="31"/>
    <s v="Veta"/>
    <s v="Veta Muntz"/>
    <s v="Muntz"/>
    <x v="0"/>
    <x v="1"/>
    <x v="0"/>
    <x v="14"/>
    <s v="15/10/2017"/>
    <n v="4569"/>
  </r>
  <r>
    <n v="32"/>
    <s v="Stasia"/>
    <s v="Stasia Becker"/>
    <s v="Becker"/>
    <x v="0"/>
    <x v="1"/>
    <x v="0"/>
    <x v="21"/>
    <s v="16/08/2016"/>
    <n v="7521"/>
  </r>
  <r>
    <n v="33"/>
    <s v="Jona"/>
    <s v="Jona Grindle"/>
    <s v="Grindle"/>
    <x v="0"/>
    <x v="1"/>
    <x v="1"/>
    <x v="11"/>
    <s v="21/05/2015"/>
    <n v="6458"/>
  </r>
  <r>
    <n v="34"/>
    <s v="Judie"/>
    <s v="Judie Claywell"/>
    <s v="Claywell"/>
    <x v="0"/>
    <x v="2"/>
    <x v="0"/>
    <x v="22"/>
    <s v="16/08/2016"/>
    <n v="7569"/>
  </r>
  <r>
    <n v="35"/>
    <s v="Dewitt"/>
    <s v="Dewitt Borger"/>
    <s v="Borger"/>
    <x v="1"/>
    <x v="0"/>
    <x v="0"/>
    <x v="2"/>
    <s v="21/05/2015"/>
    <n v="8514"/>
  </r>
  <r>
    <n v="36"/>
    <s v="Nena"/>
    <s v="Nena Hacker"/>
    <s v="Hacker"/>
    <x v="0"/>
    <x v="0"/>
    <x v="1"/>
    <x v="18"/>
    <s v="15/10/2017"/>
    <n v="8563"/>
  </r>
  <r>
    <n v="37"/>
    <s v="Kelsie"/>
    <s v="Kelsie Wachtel"/>
    <s v="Wachtel"/>
    <x v="0"/>
    <x v="2"/>
    <x v="1"/>
    <x v="6"/>
    <s v="16/08/2016"/>
    <n v="8642"/>
  </r>
  <r>
    <n v="38"/>
    <s v="Sau"/>
    <s v="Sau Pfau"/>
    <s v="Pfau"/>
    <x v="0"/>
    <x v="0"/>
    <x v="1"/>
    <x v="1"/>
    <s v="21/05/2015"/>
    <n v="9536"/>
  </r>
  <r>
    <n v="39"/>
    <s v="Shanice"/>
    <s v="Shanice Mccrystal"/>
    <s v="Mccrystal"/>
    <x v="0"/>
    <x v="0"/>
    <x v="0"/>
    <x v="2"/>
    <s v="21/05/2015"/>
    <n v="2567"/>
  </r>
  <r>
    <n v="40"/>
    <s v="Chase"/>
    <s v="Chase Karner"/>
    <s v="Karner"/>
    <x v="1"/>
    <x v="0"/>
    <x v="0"/>
    <x v="14"/>
    <s v="15/10/2017"/>
    <n v="2154"/>
  </r>
  <r>
    <n v="41"/>
    <s v="Tommie"/>
    <s v="Tommie Underdahl"/>
    <s v="Underdahl"/>
    <x v="1"/>
    <x v="0"/>
    <x v="1"/>
    <x v="11"/>
    <s v="16/08/2016"/>
    <n v="3265"/>
  </r>
  <r>
    <n v="42"/>
    <s v="Dorcas"/>
    <s v="Dorcas Darity"/>
    <s v="Darity"/>
    <x v="0"/>
    <x v="0"/>
    <x v="0"/>
    <x v="14"/>
    <s v="21/05/2015"/>
    <n v="8765"/>
  </r>
  <r>
    <n v="43"/>
    <s v="Angel"/>
    <s v="Angel Sanor"/>
    <s v="Sanor"/>
    <x v="1"/>
    <x v="2"/>
    <x v="1"/>
    <x v="4"/>
    <s v="15/10/2017"/>
    <n v="3259"/>
  </r>
  <r>
    <n v="44"/>
    <s v="Willodean"/>
    <s v="Willodean Harn"/>
    <s v="Harn"/>
    <x v="0"/>
    <x v="0"/>
    <x v="0"/>
    <x v="9"/>
    <s v="16/08/2016"/>
    <n v="3567"/>
  </r>
  <r>
    <n v="45"/>
    <s v="Weston"/>
    <s v="Weston Martina"/>
    <s v="Martina"/>
    <x v="1"/>
    <x v="0"/>
    <x v="1"/>
    <x v="11"/>
    <s v="21/05/2015"/>
    <n v="6540"/>
  </r>
  <r>
    <n v="46"/>
    <s v="Roma"/>
    <s v="Roma Lafollette"/>
    <s v="Lafollette"/>
    <x v="0"/>
    <x v="0"/>
    <x v="0"/>
    <x v="21"/>
    <s v="15/10/2017"/>
    <n v="2654"/>
  </r>
  <r>
    <n v="47"/>
    <s v="Felisa"/>
    <s v="Felisa Cail"/>
    <s v="Cail"/>
    <x v="0"/>
    <x v="0"/>
    <x v="1"/>
    <x v="8"/>
    <s v="16/08/2016"/>
    <n v="6525"/>
  </r>
  <r>
    <n v="48"/>
    <s v="Demetria"/>
    <s v="Demetria Abbey"/>
    <s v="Abbey"/>
    <x v="0"/>
    <x v="0"/>
    <x v="0"/>
    <x v="0"/>
    <s v="21/05/2015"/>
    <n v="3265"/>
  </r>
  <r>
    <n v="49"/>
    <s v="Jeromy"/>
    <s v="Jeromy Danz"/>
    <s v="Danz"/>
    <x v="1"/>
    <x v="0"/>
    <x v="0"/>
    <x v="9"/>
    <s v="15/10/2017"/>
    <n v="3265"/>
  </r>
  <r>
    <n v="50"/>
    <s v="Rasheeda"/>
    <s v="Rasheeda Alkire"/>
    <s v="Alkire"/>
    <x v="0"/>
    <x v="0"/>
    <x v="1"/>
    <x v="18"/>
    <s v="16/08/2016"/>
    <n v="6125"/>
  </r>
  <r>
    <n v="51"/>
    <s v="Dulce"/>
    <s v="Dulce Abril"/>
    <s v="Abril"/>
    <x v="0"/>
    <x v="0"/>
    <x v="0"/>
    <x v="0"/>
    <s v="15/10/2017"/>
    <n v="1562"/>
  </r>
  <r>
    <n v="52"/>
    <s v="Mara"/>
    <s v="Mara Hashimoto"/>
    <s v="Hashimoto"/>
    <x v="0"/>
    <x v="1"/>
    <x v="1"/>
    <x v="1"/>
    <s v="16/08/2016"/>
    <n v="1582"/>
  </r>
  <r>
    <n v="53"/>
    <s v="Philip"/>
    <s v="Philip Gent"/>
    <s v="Gent"/>
    <x v="1"/>
    <x v="2"/>
    <x v="0"/>
    <x v="2"/>
    <s v="21/05/2015"/>
    <n v="2587"/>
  </r>
  <r>
    <n v="54"/>
    <s v="Kathleen"/>
    <s v="Kathleen Hanner"/>
    <s v="Hanner"/>
    <x v="0"/>
    <x v="0"/>
    <x v="1"/>
    <x v="1"/>
    <s v="15/10/2017"/>
    <n v="3549"/>
  </r>
  <r>
    <n v="55"/>
    <s v="Nereida"/>
    <s v="Nereida Magwood"/>
    <s v="Magwood"/>
    <x v="0"/>
    <x v="0"/>
    <x v="2"/>
    <x v="3"/>
    <s v="16/08/2016"/>
    <n v="2468"/>
  </r>
  <r>
    <n v="56"/>
    <s v="Gaston"/>
    <s v="Gaston Brumm"/>
    <s v="Brumm"/>
    <x v="1"/>
    <x v="0"/>
    <x v="1"/>
    <x v="4"/>
    <s v="21/05/2015"/>
    <n v="2554"/>
  </r>
  <r>
    <n v="57"/>
    <s v="Etta"/>
    <s v="Etta Hurn"/>
    <s v="Hurn"/>
    <x v="0"/>
    <x v="1"/>
    <x v="2"/>
    <x v="5"/>
    <s v="15/10/2017"/>
    <n v="3598"/>
  </r>
  <r>
    <n v="58"/>
    <s v="Earlean"/>
    <s v="Earlean Melgar"/>
    <s v="Melgar"/>
    <x v="0"/>
    <x v="0"/>
    <x v="1"/>
    <x v="6"/>
    <s v="16/08/2016"/>
    <n v="2456"/>
  </r>
  <r>
    <n v="59"/>
    <s v="Vincenza"/>
    <s v="Vincenza Weiland"/>
    <s v="Weiland"/>
    <x v="0"/>
    <x v="0"/>
    <x v="0"/>
    <x v="7"/>
    <s v="21/05/2015"/>
    <n v="6548"/>
  </r>
  <r>
    <n v="60"/>
    <s v="Fallon"/>
    <s v="Fallon Winward"/>
    <s v="Winward"/>
    <x v="0"/>
    <x v="1"/>
    <x v="1"/>
    <x v="8"/>
    <s v="16/08/2016"/>
    <n v="5486"/>
  </r>
  <r>
    <n v="61"/>
    <s v="Arcelia"/>
    <s v="Arcelia Bouska"/>
    <s v="Bouska"/>
    <x v="0"/>
    <x v="1"/>
    <x v="0"/>
    <x v="9"/>
    <s v="21/05/2015"/>
    <n v="1258"/>
  </r>
  <r>
    <n v="62"/>
    <s v="Franklyn"/>
    <s v="Franklyn Unknow"/>
    <s v="Unknow"/>
    <x v="1"/>
    <x v="2"/>
    <x v="0"/>
    <x v="10"/>
    <s v="15/10/2017"/>
    <n v="2579"/>
  </r>
  <r>
    <n v="63"/>
    <s v="Sherron"/>
    <s v="Sherron Ascencio"/>
    <s v="Ascencio"/>
    <x v="0"/>
    <x v="1"/>
    <x v="0"/>
    <x v="0"/>
    <s v="16/08/2016"/>
    <n v="3256"/>
  </r>
  <r>
    <n v="64"/>
    <s v="Marcel"/>
    <s v="Marcel Zabriskie"/>
    <s v="Zabriskie"/>
    <x v="1"/>
    <x v="1"/>
    <x v="1"/>
    <x v="11"/>
    <s v="21/05/2015"/>
    <n v="2587"/>
  </r>
  <r>
    <n v="65"/>
    <s v="Kina"/>
    <s v="Kina Hazelton"/>
    <s v="Hazelton"/>
    <x v="0"/>
    <x v="1"/>
    <x v="0"/>
    <x v="12"/>
    <s v="16/08/2016"/>
    <n v="3259"/>
  </r>
  <r>
    <n v="66"/>
    <s v="Shavonne"/>
    <s v="Shavonne Pia"/>
    <s v="Pia"/>
    <x v="0"/>
    <x v="2"/>
    <x v="1"/>
    <x v="4"/>
    <s v="21/05/2015"/>
    <n v="1546"/>
  </r>
  <r>
    <n v="67"/>
    <s v="Shavon"/>
    <s v="Shavon Benito"/>
    <s v="Benito"/>
    <x v="0"/>
    <x v="2"/>
    <x v="0"/>
    <x v="9"/>
    <s v="15/10/2017"/>
    <n v="3579"/>
  </r>
  <r>
    <n v="68"/>
    <s v="Lauralee"/>
    <s v="Lauralee Perrine"/>
    <s v="Perrine"/>
    <x v="0"/>
    <x v="1"/>
    <x v="1"/>
    <x v="8"/>
    <s v="16/08/2016"/>
    <n v="6597"/>
  </r>
  <r>
    <n v="69"/>
    <s v="Loreta"/>
    <s v="Loreta Curren"/>
    <s v="Curren"/>
    <x v="0"/>
    <x v="2"/>
    <x v="1"/>
    <x v="11"/>
    <s v="21/05/2015"/>
    <n v="9654"/>
  </r>
  <r>
    <n v="70"/>
    <s v="Teresa"/>
    <s v="Teresa Strawn"/>
    <s v="Strawn"/>
    <x v="0"/>
    <x v="2"/>
    <x v="0"/>
    <x v="13"/>
    <s v="21/05/2015"/>
    <n v="3569"/>
  </r>
  <r>
    <n v="71"/>
    <s v="Belinda"/>
    <s v="Belinda Partain"/>
    <s v="Partain"/>
    <x v="0"/>
    <x v="0"/>
    <x v="0"/>
    <x v="14"/>
    <s v="15/10/2017"/>
    <n v="2564"/>
  </r>
  <r>
    <n v="72"/>
    <s v="Holly"/>
    <s v="Holly Eudy"/>
    <s v="Eudy"/>
    <x v="0"/>
    <x v="0"/>
    <x v="2"/>
    <x v="15"/>
    <s v="16/08/2016"/>
    <n v="8561"/>
  </r>
  <r>
    <n v="73"/>
    <s v="Many"/>
    <s v="Many Cuccia"/>
    <s v="Cuccia"/>
    <x v="0"/>
    <x v="1"/>
    <x v="0"/>
    <x v="13"/>
    <s v="21/05/2015"/>
    <n v="5489"/>
  </r>
  <r>
    <n v="74"/>
    <s v="Libbie"/>
    <s v="Libbie Dalby"/>
    <s v="Dalby"/>
    <x v="0"/>
    <x v="2"/>
    <x v="0"/>
    <x v="16"/>
    <s v="21/05/2015"/>
    <n v="5489"/>
  </r>
  <r>
    <n v="75"/>
    <s v="Lester"/>
    <s v="Lester Prothro"/>
    <s v="Prothro"/>
    <x v="1"/>
    <x v="2"/>
    <x v="1"/>
    <x v="17"/>
    <s v="15/10/2017"/>
    <n v="6574"/>
  </r>
  <r>
    <n v="76"/>
    <s v="Marvel"/>
    <s v="Marvel Hail"/>
    <s v="Hail"/>
    <x v="0"/>
    <x v="1"/>
    <x v="1"/>
    <x v="8"/>
    <s v="16/08/2016"/>
    <n v="5555"/>
  </r>
  <r>
    <n v="77"/>
    <s v="Angelyn"/>
    <s v="Angelyn Vong"/>
    <s v="Vong"/>
    <x v="0"/>
    <x v="0"/>
    <x v="1"/>
    <x v="18"/>
    <s v="21/05/2015"/>
    <n v="6125"/>
  </r>
  <r>
    <n v="78"/>
    <s v="Francesca"/>
    <s v="Francesca Beaudreau"/>
    <s v="Beaudreau"/>
    <x v="0"/>
    <x v="2"/>
    <x v="1"/>
    <x v="19"/>
    <s v="15/10/2017"/>
    <n v="5412"/>
  </r>
  <r>
    <n v="79"/>
    <s v="Garth"/>
    <s v="Garth Gangi"/>
    <s v="Gangi"/>
    <x v="1"/>
    <x v="0"/>
    <x v="0"/>
    <x v="20"/>
    <s v="16/08/2016"/>
    <n v="3256"/>
  </r>
  <r>
    <n v="80"/>
    <s v="Carla"/>
    <s v="Carla Trumbull"/>
    <s v="Trumbull"/>
    <x v="0"/>
    <x v="1"/>
    <x v="1"/>
    <x v="8"/>
    <s v="21/05/2015"/>
    <n v="3264"/>
  </r>
  <r>
    <n v="81"/>
    <s v="Veta"/>
    <s v="Veta Muntz"/>
    <s v="Muntz"/>
    <x v="0"/>
    <x v="1"/>
    <x v="0"/>
    <x v="14"/>
    <s v="15/10/2017"/>
    <n v="4569"/>
  </r>
  <r>
    <n v="82"/>
    <s v="Stasia"/>
    <s v="Stasia Becker"/>
    <s v="Becker"/>
    <x v="0"/>
    <x v="1"/>
    <x v="0"/>
    <x v="21"/>
    <s v="16/08/2016"/>
    <n v="7521"/>
  </r>
  <r>
    <n v="83"/>
    <s v="Jona"/>
    <s v="Jona Grindle"/>
    <s v="Grindle"/>
    <x v="0"/>
    <x v="1"/>
    <x v="1"/>
    <x v="11"/>
    <s v="21/05/2015"/>
    <n v="6458"/>
  </r>
  <r>
    <n v="84"/>
    <s v="Judie"/>
    <s v="Judie Claywell"/>
    <s v="Claywell"/>
    <x v="0"/>
    <x v="2"/>
    <x v="0"/>
    <x v="22"/>
    <s v="16/08/2016"/>
    <n v="7569"/>
  </r>
  <r>
    <n v="85"/>
    <s v="Dewitt"/>
    <s v="Dewitt Borger"/>
    <s v="Borger"/>
    <x v="1"/>
    <x v="0"/>
    <x v="0"/>
    <x v="2"/>
    <s v="21/05/2015"/>
    <n v="8514"/>
  </r>
  <r>
    <n v="86"/>
    <s v="Nena"/>
    <s v="Nena Hacker"/>
    <s v="Hacker"/>
    <x v="0"/>
    <x v="0"/>
    <x v="1"/>
    <x v="18"/>
    <s v="15/10/2017"/>
    <n v="8563"/>
  </r>
  <r>
    <n v="87"/>
    <s v="Kelsie"/>
    <s v="Kelsie Wachtel"/>
    <s v="Wachtel"/>
    <x v="0"/>
    <x v="2"/>
    <x v="1"/>
    <x v="6"/>
    <s v="16/08/2016"/>
    <n v="8642"/>
  </r>
  <r>
    <n v="88"/>
    <s v="Sau"/>
    <s v="Sau Pfau"/>
    <s v="Pfau"/>
    <x v="0"/>
    <x v="0"/>
    <x v="1"/>
    <x v="1"/>
    <s v="21/05/2015"/>
    <n v="9536"/>
  </r>
  <r>
    <n v="89"/>
    <s v="Shanice"/>
    <s v="Shanice Mccrystal"/>
    <s v="Mccrystal"/>
    <x v="0"/>
    <x v="0"/>
    <x v="0"/>
    <x v="2"/>
    <s v="21/05/2015"/>
    <n v="2567"/>
  </r>
  <r>
    <n v="90"/>
    <s v="Chase"/>
    <s v="Chase Karner"/>
    <s v="Karner"/>
    <x v="1"/>
    <x v="0"/>
    <x v="0"/>
    <x v="14"/>
    <s v="15/10/2017"/>
    <n v="2154"/>
  </r>
  <r>
    <n v="91"/>
    <s v="Tommie"/>
    <s v="Tommie Underdahl"/>
    <s v="Underdahl"/>
    <x v="1"/>
    <x v="0"/>
    <x v="1"/>
    <x v="11"/>
    <s v="16/08/2016"/>
    <n v="3265"/>
  </r>
  <r>
    <n v="92"/>
    <s v="Dorcas"/>
    <s v="Dorcas Darity"/>
    <s v="Darity"/>
    <x v="0"/>
    <x v="0"/>
    <x v="0"/>
    <x v="14"/>
    <s v="21/05/2015"/>
    <n v="8765"/>
  </r>
  <r>
    <n v="93"/>
    <s v="Angel"/>
    <s v="Angel Sanor"/>
    <s v="Sanor"/>
    <x v="1"/>
    <x v="2"/>
    <x v="1"/>
    <x v="4"/>
    <s v="15/10/2017"/>
    <n v="3259"/>
  </r>
  <r>
    <n v="94"/>
    <s v="Willodean"/>
    <s v="Willodean Harn"/>
    <s v="Harn"/>
    <x v="0"/>
    <x v="0"/>
    <x v="0"/>
    <x v="9"/>
    <s v="16/08/2016"/>
    <n v="3567"/>
  </r>
  <r>
    <n v="95"/>
    <s v="Weston"/>
    <s v="Weston Martina"/>
    <s v="Martina"/>
    <x v="1"/>
    <x v="0"/>
    <x v="1"/>
    <x v="11"/>
    <s v="21/05/2015"/>
    <n v="6540"/>
  </r>
  <r>
    <n v="96"/>
    <s v="Roma"/>
    <s v="Roma Lafollette"/>
    <s v="Lafollette"/>
    <x v="0"/>
    <x v="0"/>
    <x v="0"/>
    <x v="21"/>
    <s v="15/10/2017"/>
    <n v="2654"/>
  </r>
  <r>
    <n v="97"/>
    <s v="Felisa"/>
    <s v="Felisa Cail"/>
    <s v="Cail"/>
    <x v="0"/>
    <x v="0"/>
    <x v="1"/>
    <x v="8"/>
    <s v="16/08/2016"/>
    <n v="6525"/>
  </r>
  <r>
    <n v="98"/>
    <s v="Demetria"/>
    <s v="Demetria Abbey"/>
    <s v="Abbey"/>
    <x v="0"/>
    <x v="0"/>
    <x v="0"/>
    <x v="0"/>
    <s v="21/05/2015"/>
    <n v="3265"/>
  </r>
  <r>
    <n v="99"/>
    <s v="Jeromy"/>
    <s v="Jeromy Danz"/>
    <s v="Danz"/>
    <x v="1"/>
    <x v="0"/>
    <x v="0"/>
    <x v="9"/>
    <s v="15/10/2017"/>
    <n v="3265"/>
  </r>
  <r>
    <n v="100"/>
    <s v="Rasheeda"/>
    <s v="Rasheeda Alkire"/>
    <s v="Alkire"/>
    <x v="0"/>
    <x v="0"/>
    <x v="1"/>
    <x v="18"/>
    <s v="16/08/2016"/>
    <n v="6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 dataOnRows="1" applyNumberFormats="0" applyBorderFormats="0" applyFontFormats="0" applyPatternFormats="0" applyAlignmentFormats="0" applyWidthHeightFormats="1" dataCaption="Data" updatedVersion="6" minRefreshableVersion="3" showMemberPropertyTips="0" useAutoFormatting="1" itemPrintTitles="1" mergeItem="1" createdVersion="6" indent="0" compact="0" compactData="0" gridDropZones="1" chartFormat="7">
  <location ref="B6:F10" firstHeaderRow="1" firstDataRow="2" firstDataCol="1"/>
  <pivotFields count="1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3">
        <item x="0"/>
        <item x="1"/>
        <item t="default"/>
      </items>
    </pivotField>
    <pivotField axis="axisCol" compact="0" outline="0" subtotalTop="0" showAll="0" includeNewItemsInFilter="1">
      <items count="4">
        <item x="2"/>
        <item x="1"/>
        <item x="0"/>
        <item t="default"/>
      </items>
    </pivotField>
    <pivotField compact="0" outline="0" subtotalTop="0" showAll="0" includeNewItemsInFilter="1"/>
    <pivotField dataField="1" compact="0" outline="0" subtotalTop="0" showAll="0" includeNewItemsInFilter="1">
      <items count="24">
        <item x="17"/>
        <item x="19"/>
        <item x="4"/>
        <item x="1"/>
        <item x="11"/>
        <item x="6"/>
        <item x="8"/>
        <item x="18"/>
        <item x="12"/>
        <item x="0"/>
        <item x="21"/>
        <item x="22"/>
        <item x="2"/>
        <item x="14"/>
        <item x="10"/>
        <item x="9"/>
        <item x="7"/>
        <item x="20"/>
        <item x="16"/>
        <item x="13"/>
        <item x="15"/>
        <item x="5"/>
        <item x="3"/>
        <item t="default"/>
      </items>
    </pivotField>
    <pivotField compact="0" outline="0" subtotalTop="0" showAll="0" includeNewItemsInFilter="1"/>
    <pivotField compact="0" outline="0" subtotalTop="0" showAll="0" includeNewItemsInFilter="1"/>
  </pivotFields>
  <rowFields count="1">
    <field x="4"/>
  </rowFields>
  <rowItems count="3">
    <i>
      <x/>
    </i>
    <i>
      <x v="1"/>
    </i>
    <i t="grand">
      <x/>
    </i>
  </rowItems>
  <colFields count="1">
    <field x="5"/>
  </colFields>
  <colItems count="4">
    <i>
      <x/>
    </i>
    <i>
      <x v="1"/>
    </i>
    <i>
      <x v="2"/>
    </i>
    <i t="grand">
      <x/>
    </i>
  </colItems>
  <dataFields count="1">
    <dataField name="Sum of Age" fld="7" baseField="2" baseItem="2"/>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4" format="3" series="1">
      <pivotArea type="data" outline="0" fieldPosition="0">
        <references count="2">
          <reference field="4294967294" count="1" selected="0">
            <x v="0"/>
          </reference>
          <reference field="5" count="1" selected="0">
            <x v="0"/>
          </reference>
        </references>
      </pivotArea>
    </chartFormat>
    <chartFormat chart="4" format="4" series="1">
      <pivotArea type="data" outline="0" fieldPosition="0">
        <references count="2">
          <reference field="4294967294" count="1" selected="0">
            <x v="0"/>
          </reference>
          <reference field="5" count="1" selected="0">
            <x v="1"/>
          </reference>
        </references>
      </pivotArea>
    </chartFormat>
    <chartFormat chart="4" format="5" series="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 chart="6" format="9" series="1">
      <pivotArea type="data" outline="0" fieldPosition="0">
        <references count="2">
          <reference field="4294967294" count="1" selected="0">
            <x v="0"/>
          </reference>
          <reference field="5" count="1" selected="0">
            <x v="0"/>
          </reference>
        </references>
      </pivotArea>
    </chartFormat>
    <chartFormat chart="6" format="10" series="1">
      <pivotArea type="data" outline="0" fieldPosition="0">
        <references count="2">
          <reference field="4294967294" count="1" selected="0">
            <x v="0"/>
          </reference>
          <reference field="5" count="1" selected="0">
            <x v="1"/>
          </reference>
        </references>
      </pivotArea>
    </chartFormat>
    <chartFormat chart="6" format="11"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2.xml><?xml version="1.0" encoding="utf-8"?>
<pivotTableDefinition xmlns="http://schemas.openxmlformats.org/spreadsheetml/2006/main" name="PivotTable5" cacheId="1" dataOnRows="1" applyNumberFormats="0" applyBorderFormats="0" applyFontFormats="0" applyPatternFormats="0" applyAlignmentFormats="0" applyWidthHeightFormats="1" dataCaption="Data" updatedVersion="6" minRefreshableVersion="3" showMemberPropertyTips="0" useAutoFormatting="1" itemPrintTitles="1" createdVersion="6" indent="0" compact="0" compactData="0" gridDropZones="1" chartFormat="10">
  <location ref="B24:E49" firstHeaderRow="1" firstDataRow="2" firstDataCol="1"/>
  <pivotFields count="10">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Col" compact="0" outline="0" subtotalTop="0" showAll="0" includeNewItemsInFilter="1">
      <items count="3">
        <item x="0"/>
        <item x="1"/>
        <item t="default"/>
      </items>
    </pivotField>
    <pivotField compact="0" outline="0" subtotalTop="0" showAll="0" includeNewItemsInFilter="1"/>
    <pivotField dataField="1" compact="0" outline="0" subtotalTop="0" showAll="0" includeNewItemsInFilter="1">
      <items count="4">
        <item x="1"/>
        <item x="0"/>
        <item x="2"/>
        <item t="default"/>
      </items>
    </pivotField>
    <pivotField axis="axisRow" compact="0" outline="0" subtotalTop="0" showAll="0" includeNewItemsInFilter="1">
      <items count="24">
        <item x="17"/>
        <item x="19"/>
        <item x="4"/>
        <item x="1"/>
        <item x="11"/>
        <item x="6"/>
        <item x="8"/>
        <item x="18"/>
        <item x="12"/>
        <item x="0"/>
        <item x="21"/>
        <item x="22"/>
        <item x="2"/>
        <item x="14"/>
        <item x="10"/>
        <item x="9"/>
        <item x="7"/>
        <item x="20"/>
        <item x="16"/>
        <item x="13"/>
        <item x="15"/>
        <item x="5"/>
        <item x="3"/>
        <item t="default"/>
      </items>
    </pivotField>
    <pivotField compact="0" outline="0" subtotalTop="0" showAll="0" includeNewItemsInFilter="1"/>
    <pivotField compact="0" outline="0" subtotalTop="0" showAll="0" includeNewItemsInFilter="1"/>
  </pivotFields>
  <rowFields count="1">
    <field x="7"/>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4"/>
  </colFields>
  <colItems count="3">
    <i>
      <x/>
    </i>
    <i>
      <x v="1"/>
    </i>
    <i t="grand">
      <x/>
    </i>
  </colItems>
  <dataFields count="1">
    <dataField name="Count of Age Bracket" fld="6" subtotal="count" baseField="0" baseItem="0"/>
  </dataFields>
  <chartFormats count="11">
    <chartFormat chart="5" format="7" series="1">
      <pivotArea type="data" outline="0" fieldPosition="0">
        <references count="1">
          <reference field="4" count="1" selected="0">
            <x v="0"/>
          </reference>
        </references>
      </pivotArea>
    </chartFormat>
    <chartFormat chart="5" format="8" series="1">
      <pivotArea type="data" outline="0" fieldPosition="0">
        <references count="1">
          <reference field="4" count="1" selected="0">
            <x v="1"/>
          </reference>
        </references>
      </pivotArea>
    </chartFormat>
    <chartFormat chart="5" format="9" series="1">
      <pivotArea type="data" outline="0" fieldPosition="0">
        <references count="2">
          <reference field="4294967294" count="1" selected="0">
            <x v="0"/>
          </reference>
          <reference field="4" count="1" selected="0">
            <x v="1"/>
          </reference>
        </references>
      </pivotArea>
    </chartFormat>
    <chartFormat chart="7" format="5" series="1">
      <pivotArea type="data" outline="0" fieldPosition="0">
        <references count="2">
          <reference field="4294967294" count="1" selected="0">
            <x v="0"/>
          </reference>
          <reference field="4" count="1" selected="0">
            <x v="0"/>
          </reference>
        </references>
      </pivotArea>
    </chartFormat>
    <chartFormat chart="7" format="6" series="1">
      <pivotArea type="data" outline="0" fieldPosition="0">
        <references count="2">
          <reference field="4294967294" count="1" selected="0">
            <x v="0"/>
          </reference>
          <reference field="4" count="1" selected="0">
            <x v="1"/>
          </reference>
        </references>
      </pivotArea>
    </chartFormat>
    <chartFormat chart="8" format="7" series="1">
      <pivotArea type="data" outline="0" fieldPosition="0">
        <references count="2">
          <reference field="4294967294" count="1" selected="0">
            <x v="0"/>
          </reference>
          <reference field="4" count="1" selected="0">
            <x v="0"/>
          </reference>
        </references>
      </pivotArea>
    </chartFormat>
    <chartFormat chart="8" format="8" series="1">
      <pivotArea type="data" outline="0" fieldPosition="0">
        <references count="2">
          <reference field="4294967294" count="1" selected="0">
            <x v="0"/>
          </reference>
          <reference field="4" count="1" selected="0">
            <x v="1"/>
          </reference>
        </references>
      </pivotArea>
    </chartFormat>
    <chartFormat chart="9" format="7" series="1">
      <pivotArea type="data" outline="0" fieldPosition="0">
        <references count="2">
          <reference field="4294967294" count="1" selected="0">
            <x v="0"/>
          </reference>
          <reference field="4" count="1" selected="0">
            <x v="0"/>
          </reference>
        </references>
      </pivotArea>
    </chartFormat>
    <chartFormat chart="9" format="8" series="1">
      <pivotArea type="data" outline="0" fieldPosition="0">
        <references count="2">
          <reference field="4294967294" count="1" selected="0">
            <x v="0"/>
          </reference>
          <reference field="4" count="1" selected="0">
            <x v="1"/>
          </reference>
        </references>
      </pivotArea>
    </chartFormat>
    <chartFormat chart="0" format="5" series="1">
      <pivotArea type="data" outline="0" fieldPosition="0">
        <references count="2">
          <reference field="4294967294" count="1" selected="0">
            <x v="0"/>
          </reference>
          <reference field="4" count="1" selected="0">
            <x v="0"/>
          </reference>
        </references>
      </pivotArea>
    </chartFormat>
    <chartFormat chart="0" format="6" series="1">
      <pivotArea type="data" outline="0" fieldPosition="0">
        <references count="2">
          <reference field="4294967294" count="1" selected="0">
            <x v="0"/>
          </reference>
          <reference field="4" count="1" selected="0">
            <x v="1"/>
          </reference>
        </references>
      </pivotArea>
    </chartFormat>
  </chartFormat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4"/>
    <pivotTable tabId="3"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3" name="PivotTable4"/>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3" name="PivotTable4"/>
    <pivotTable tabId="3" name="PivotTable5"/>
  </pivotTables>
  <data>
    <tabular pivotCacheId="1">
      <items count="23">
        <i x="17" s="1"/>
        <i x="19" s="1"/>
        <i x="4" s="1"/>
        <i x="1" s="1"/>
        <i x="11" s="1"/>
        <i x="6" s="1"/>
        <i x="8" s="1"/>
        <i x="18" s="1"/>
        <i x="12" s="1"/>
        <i x="0" s="1"/>
        <i x="21" s="1"/>
        <i x="22" s="1"/>
        <i x="2" s="1"/>
        <i x="14" s="1"/>
        <i x="10" s="1"/>
        <i x="9" s="1"/>
        <i x="7" s="1"/>
        <i x="20" s="1"/>
        <i x="16" s="1"/>
        <i x="13" s="1"/>
        <i x="15"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Bracket" sourceName="Age Bracket">
  <pivotTables>
    <pivotTable tabId="3" name="PivotTable5"/>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09550"/>
  <slicer name="Country" cache="Slicer_Country" caption="Country" rowHeight="209550"/>
  <slicer name="Age" cache="Slicer_Age" caption="Age" startItem="3" rowHeight="209550"/>
  <slicer name="Age Bracket" cache="Slicer_Age_Bracket" caption="Age Bracket"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selection sqref="A1:H101"/>
    </sheetView>
  </sheetViews>
  <sheetFormatPr defaultColWidth="11.5546875" defaultRowHeight="13.2" x14ac:dyDescent="0.25"/>
  <sheetData>
    <row r="1" spans="1:8" s="1" customFormat="1" x14ac:dyDescent="0.25">
      <c r="A1" s="1">
        <v>0</v>
      </c>
      <c r="B1" s="1" t="s">
        <v>0</v>
      </c>
      <c r="C1" s="1" t="s">
        <v>1</v>
      </c>
      <c r="D1" s="1" t="s">
        <v>2</v>
      </c>
      <c r="E1" s="1" t="s">
        <v>3</v>
      </c>
      <c r="F1" s="1" t="s">
        <v>4</v>
      </c>
      <c r="G1" s="1" t="s">
        <v>5</v>
      </c>
      <c r="H1" s="1" t="s">
        <v>6</v>
      </c>
    </row>
    <row r="2" spans="1:8" x14ac:dyDescent="0.25">
      <c r="A2">
        <v>1</v>
      </c>
      <c r="B2" t="s">
        <v>7</v>
      </c>
      <c r="C2" t="s">
        <v>8</v>
      </c>
      <c r="D2" t="s">
        <v>9</v>
      </c>
      <c r="E2" t="s">
        <v>10</v>
      </c>
      <c r="F2">
        <v>32</v>
      </c>
      <c r="G2" s="2" t="s">
        <v>11</v>
      </c>
      <c r="H2">
        <v>1562</v>
      </c>
    </row>
    <row r="3" spans="1:8" x14ac:dyDescent="0.25">
      <c r="A3">
        <v>2</v>
      </c>
      <c r="B3" t="s">
        <v>12</v>
      </c>
      <c r="C3" t="s">
        <v>13</v>
      </c>
      <c r="D3" t="s">
        <v>9</v>
      </c>
      <c r="E3" t="s">
        <v>14</v>
      </c>
      <c r="F3">
        <v>25</v>
      </c>
      <c r="G3" t="s">
        <v>15</v>
      </c>
      <c r="H3">
        <v>1582</v>
      </c>
    </row>
    <row r="4" spans="1:8" x14ac:dyDescent="0.25">
      <c r="A4">
        <v>3</v>
      </c>
      <c r="B4" t="s">
        <v>16</v>
      </c>
      <c r="C4" t="s">
        <v>17</v>
      </c>
      <c r="D4" t="s">
        <v>18</v>
      </c>
      <c r="E4" t="s">
        <v>19</v>
      </c>
      <c r="F4">
        <v>36</v>
      </c>
      <c r="G4" t="s">
        <v>20</v>
      </c>
      <c r="H4">
        <v>2587</v>
      </c>
    </row>
    <row r="5" spans="1:8" x14ac:dyDescent="0.25">
      <c r="A5">
        <v>4</v>
      </c>
      <c r="B5" t="s">
        <v>21</v>
      </c>
      <c r="C5" t="s">
        <v>22</v>
      </c>
      <c r="D5" t="s">
        <v>9</v>
      </c>
      <c r="E5" s="3" t="s">
        <v>10</v>
      </c>
      <c r="F5">
        <v>25</v>
      </c>
      <c r="G5" s="2" t="s">
        <v>11</v>
      </c>
      <c r="H5">
        <v>3549</v>
      </c>
    </row>
    <row r="6" spans="1:8" x14ac:dyDescent="0.25">
      <c r="A6">
        <v>5</v>
      </c>
      <c r="B6" t="s">
        <v>23</v>
      </c>
      <c r="C6" t="s">
        <v>24</v>
      </c>
      <c r="D6" t="s">
        <v>9</v>
      </c>
      <c r="E6" s="3" t="s">
        <v>10</v>
      </c>
      <c r="F6">
        <v>58</v>
      </c>
      <c r="G6" t="s">
        <v>15</v>
      </c>
      <c r="H6">
        <v>2468</v>
      </c>
    </row>
    <row r="7" spans="1:8" x14ac:dyDescent="0.25">
      <c r="A7">
        <v>6</v>
      </c>
      <c r="B7" t="s">
        <v>25</v>
      </c>
      <c r="C7" t="s">
        <v>26</v>
      </c>
      <c r="D7" s="3" t="s">
        <v>18</v>
      </c>
      <c r="E7" s="3" t="s">
        <v>10</v>
      </c>
      <c r="F7">
        <v>24</v>
      </c>
      <c r="G7" t="s">
        <v>20</v>
      </c>
      <c r="H7">
        <v>2554</v>
      </c>
    </row>
    <row r="8" spans="1:8" x14ac:dyDescent="0.25">
      <c r="A8">
        <v>7</v>
      </c>
      <c r="B8" t="s">
        <v>27</v>
      </c>
      <c r="C8" t="s">
        <v>28</v>
      </c>
      <c r="D8" t="s">
        <v>9</v>
      </c>
      <c r="E8" t="s">
        <v>14</v>
      </c>
      <c r="F8">
        <v>56</v>
      </c>
      <c r="G8" s="2" t="s">
        <v>11</v>
      </c>
      <c r="H8">
        <v>3598</v>
      </c>
    </row>
    <row r="9" spans="1:8" x14ac:dyDescent="0.25">
      <c r="A9">
        <v>8</v>
      </c>
      <c r="B9" t="s">
        <v>29</v>
      </c>
      <c r="C9" t="s">
        <v>30</v>
      </c>
      <c r="D9" t="s">
        <v>9</v>
      </c>
      <c r="E9" s="3" t="s">
        <v>10</v>
      </c>
      <c r="F9">
        <v>27</v>
      </c>
      <c r="G9" t="s">
        <v>15</v>
      </c>
      <c r="H9">
        <v>2456</v>
      </c>
    </row>
    <row r="10" spans="1:8" x14ac:dyDescent="0.25">
      <c r="A10">
        <v>9</v>
      </c>
      <c r="B10" t="s">
        <v>31</v>
      </c>
      <c r="C10" t="s">
        <v>32</v>
      </c>
      <c r="D10" t="s">
        <v>9</v>
      </c>
      <c r="E10" s="3" t="s">
        <v>10</v>
      </c>
      <c r="F10">
        <v>40</v>
      </c>
      <c r="G10" t="s">
        <v>20</v>
      </c>
      <c r="H10">
        <v>6548</v>
      </c>
    </row>
    <row r="11" spans="1:8" x14ac:dyDescent="0.25">
      <c r="A11">
        <v>10</v>
      </c>
      <c r="B11" t="s">
        <v>33</v>
      </c>
      <c r="C11" t="s">
        <v>34</v>
      </c>
      <c r="D11" t="s">
        <v>9</v>
      </c>
      <c r="E11" t="s">
        <v>14</v>
      </c>
      <c r="F11">
        <v>28</v>
      </c>
      <c r="G11" t="s">
        <v>15</v>
      </c>
      <c r="H11">
        <v>5486</v>
      </c>
    </row>
    <row r="12" spans="1:8" x14ac:dyDescent="0.25">
      <c r="A12">
        <v>11</v>
      </c>
      <c r="B12" t="s">
        <v>35</v>
      </c>
      <c r="C12" t="s">
        <v>36</v>
      </c>
      <c r="D12" t="s">
        <v>9</v>
      </c>
      <c r="E12" t="s">
        <v>14</v>
      </c>
      <c r="F12">
        <v>39</v>
      </c>
      <c r="G12" t="s">
        <v>20</v>
      </c>
      <c r="H12">
        <v>1258</v>
      </c>
    </row>
    <row r="13" spans="1:8" x14ac:dyDescent="0.25">
      <c r="A13">
        <v>12</v>
      </c>
      <c r="B13" t="s">
        <v>37</v>
      </c>
      <c r="C13" t="s">
        <v>38</v>
      </c>
      <c r="D13" t="s">
        <v>18</v>
      </c>
      <c r="E13" t="s">
        <v>19</v>
      </c>
      <c r="F13">
        <v>38</v>
      </c>
      <c r="G13" s="2" t="s">
        <v>11</v>
      </c>
      <c r="H13">
        <v>2579</v>
      </c>
    </row>
    <row r="14" spans="1:8" x14ac:dyDescent="0.25">
      <c r="A14">
        <v>13</v>
      </c>
      <c r="B14" t="s">
        <v>39</v>
      </c>
      <c r="C14" t="s">
        <v>40</v>
      </c>
      <c r="D14" t="s">
        <v>9</v>
      </c>
      <c r="E14" t="s">
        <v>14</v>
      </c>
      <c r="F14">
        <v>32</v>
      </c>
      <c r="G14" t="s">
        <v>15</v>
      </c>
      <c r="H14">
        <v>3256</v>
      </c>
    </row>
    <row r="15" spans="1:8" x14ac:dyDescent="0.25">
      <c r="A15">
        <v>14</v>
      </c>
      <c r="B15" t="s">
        <v>41</v>
      </c>
      <c r="C15" t="s">
        <v>42</v>
      </c>
      <c r="D15" t="s">
        <v>18</v>
      </c>
      <c r="E15" t="s">
        <v>14</v>
      </c>
      <c r="F15">
        <v>26</v>
      </c>
      <c r="G15" t="s">
        <v>20</v>
      </c>
      <c r="H15">
        <v>2587</v>
      </c>
    </row>
    <row r="16" spans="1:8" x14ac:dyDescent="0.25">
      <c r="A16">
        <v>15</v>
      </c>
      <c r="B16" t="s">
        <v>43</v>
      </c>
      <c r="C16" t="s">
        <v>44</v>
      </c>
      <c r="D16" t="s">
        <v>9</v>
      </c>
      <c r="E16" t="s">
        <v>14</v>
      </c>
      <c r="F16">
        <v>31</v>
      </c>
      <c r="G16" t="s">
        <v>15</v>
      </c>
      <c r="H16">
        <v>3259</v>
      </c>
    </row>
    <row r="17" spans="1:8" x14ac:dyDescent="0.25">
      <c r="A17">
        <v>16</v>
      </c>
      <c r="B17" t="s">
        <v>45</v>
      </c>
      <c r="C17" t="s">
        <v>46</v>
      </c>
      <c r="D17" t="s">
        <v>9</v>
      </c>
      <c r="E17" t="s">
        <v>19</v>
      </c>
      <c r="F17">
        <v>24</v>
      </c>
      <c r="G17" t="s">
        <v>20</v>
      </c>
      <c r="H17">
        <v>1546</v>
      </c>
    </row>
    <row r="18" spans="1:8" x14ac:dyDescent="0.25">
      <c r="A18">
        <v>17</v>
      </c>
      <c r="B18" t="s">
        <v>47</v>
      </c>
      <c r="C18" t="s">
        <v>48</v>
      </c>
      <c r="D18" t="s">
        <v>9</v>
      </c>
      <c r="E18" t="s">
        <v>19</v>
      </c>
      <c r="F18">
        <v>39</v>
      </c>
      <c r="G18" s="2" t="s">
        <v>11</v>
      </c>
      <c r="H18">
        <v>3579</v>
      </c>
    </row>
    <row r="19" spans="1:8" x14ac:dyDescent="0.25">
      <c r="A19">
        <v>18</v>
      </c>
      <c r="B19" t="s">
        <v>49</v>
      </c>
      <c r="C19" t="s">
        <v>50</v>
      </c>
      <c r="D19" t="s">
        <v>9</v>
      </c>
      <c r="E19" t="s">
        <v>14</v>
      </c>
      <c r="F19">
        <v>28</v>
      </c>
      <c r="G19" t="s">
        <v>15</v>
      </c>
      <c r="H19">
        <v>6597</v>
      </c>
    </row>
    <row r="20" spans="1:8" x14ac:dyDescent="0.25">
      <c r="A20">
        <v>19</v>
      </c>
      <c r="B20" t="s">
        <v>51</v>
      </c>
      <c r="C20" t="s">
        <v>52</v>
      </c>
      <c r="D20" t="s">
        <v>9</v>
      </c>
      <c r="E20" t="s">
        <v>19</v>
      </c>
      <c r="F20">
        <v>26</v>
      </c>
      <c r="G20" t="s">
        <v>20</v>
      </c>
      <c r="H20">
        <v>9654</v>
      </c>
    </row>
    <row r="21" spans="1:8" x14ac:dyDescent="0.25">
      <c r="A21">
        <v>20</v>
      </c>
      <c r="B21" t="s">
        <v>53</v>
      </c>
      <c r="C21" t="s">
        <v>54</v>
      </c>
      <c r="D21" t="s">
        <v>9</v>
      </c>
      <c r="E21" t="s">
        <v>19</v>
      </c>
      <c r="F21">
        <v>46</v>
      </c>
      <c r="G21" t="s">
        <v>20</v>
      </c>
      <c r="H21">
        <v>3569</v>
      </c>
    </row>
    <row r="22" spans="1:8" x14ac:dyDescent="0.25">
      <c r="A22">
        <v>21</v>
      </c>
      <c r="B22" t="s">
        <v>55</v>
      </c>
      <c r="C22" t="s">
        <v>56</v>
      </c>
      <c r="D22" t="s">
        <v>9</v>
      </c>
      <c r="E22" t="s">
        <v>10</v>
      </c>
      <c r="F22">
        <v>37</v>
      </c>
      <c r="G22" s="2" t="s">
        <v>11</v>
      </c>
      <c r="H22">
        <v>2564</v>
      </c>
    </row>
    <row r="23" spans="1:8" x14ac:dyDescent="0.25">
      <c r="A23">
        <v>22</v>
      </c>
      <c r="B23" t="s">
        <v>57</v>
      </c>
      <c r="C23" t="s">
        <v>58</v>
      </c>
      <c r="D23" t="s">
        <v>9</v>
      </c>
      <c r="E23" t="s">
        <v>10</v>
      </c>
      <c r="F23">
        <v>52</v>
      </c>
      <c r="G23" t="s">
        <v>15</v>
      </c>
      <c r="H23">
        <v>8561</v>
      </c>
    </row>
    <row r="24" spans="1:8" x14ac:dyDescent="0.25">
      <c r="A24">
        <v>23</v>
      </c>
      <c r="B24" t="s">
        <v>59</v>
      </c>
      <c r="C24" t="s">
        <v>60</v>
      </c>
      <c r="D24" t="s">
        <v>9</v>
      </c>
      <c r="E24" t="s">
        <v>14</v>
      </c>
      <c r="F24">
        <v>46</v>
      </c>
      <c r="G24" t="s">
        <v>20</v>
      </c>
      <c r="H24">
        <v>5489</v>
      </c>
    </row>
    <row r="25" spans="1:8" x14ac:dyDescent="0.25">
      <c r="A25">
        <v>24</v>
      </c>
      <c r="B25" t="s">
        <v>61</v>
      </c>
      <c r="C25" t="s">
        <v>62</v>
      </c>
      <c r="D25" t="s">
        <v>9</v>
      </c>
      <c r="E25" t="s">
        <v>19</v>
      </c>
      <c r="F25">
        <v>42</v>
      </c>
      <c r="G25" t="s">
        <v>20</v>
      </c>
      <c r="H25">
        <v>5489</v>
      </c>
    </row>
    <row r="26" spans="1:8" x14ac:dyDescent="0.25">
      <c r="A26">
        <v>25</v>
      </c>
      <c r="B26" t="s">
        <v>63</v>
      </c>
      <c r="C26" t="s">
        <v>64</v>
      </c>
      <c r="D26" t="s">
        <v>18</v>
      </c>
      <c r="E26" t="s">
        <v>19</v>
      </c>
      <c r="F26">
        <v>21</v>
      </c>
      <c r="G26" s="2" t="s">
        <v>11</v>
      </c>
      <c r="H26">
        <v>6574</v>
      </c>
    </row>
    <row r="27" spans="1:8" x14ac:dyDescent="0.25">
      <c r="A27">
        <v>26</v>
      </c>
      <c r="B27" t="s">
        <v>65</v>
      </c>
      <c r="C27" t="s">
        <v>66</v>
      </c>
      <c r="D27" t="s">
        <v>9</v>
      </c>
      <c r="E27" t="s">
        <v>14</v>
      </c>
      <c r="F27">
        <v>28</v>
      </c>
      <c r="G27" t="s">
        <v>15</v>
      </c>
      <c r="H27">
        <v>5555</v>
      </c>
    </row>
    <row r="28" spans="1:8" x14ac:dyDescent="0.25">
      <c r="A28">
        <v>27</v>
      </c>
      <c r="B28" t="s">
        <v>67</v>
      </c>
      <c r="C28" t="s">
        <v>68</v>
      </c>
      <c r="D28" t="s">
        <v>9</v>
      </c>
      <c r="E28" t="s">
        <v>10</v>
      </c>
      <c r="F28">
        <v>29</v>
      </c>
      <c r="G28" t="s">
        <v>20</v>
      </c>
      <c r="H28">
        <v>6125</v>
      </c>
    </row>
    <row r="29" spans="1:8" x14ac:dyDescent="0.25">
      <c r="A29">
        <v>28</v>
      </c>
      <c r="B29" t="s">
        <v>69</v>
      </c>
      <c r="C29" t="s">
        <v>70</v>
      </c>
      <c r="D29" t="s">
        <v>9</v>
      </c>
      <c r="E29" t="s">
        <v>19</v>
      </c>
      <c r="F29">
        <v>23</v>
      </c>
      <c r="G29" s="2" t="s">
        <v>11</v>
      </c>
      <c r="H29">
        <v>5412</v>
      </c>
    </row>
    <row r="30" spans="1:8" x14ac:dyDescent="0.25">
      <c r="A30">
        <v>29</v>
      </c>
      <c r="B30" t="s">
        <v>71</v>
      </c>
      <c r="C30" t="s">
        <v>72</v>
      </c>
      <c r="D30" t="s">
        <v>18</v>
      </c>
      <c r="E30" t="s">
        <v>10</v>
      </c>
      <c r="F30">
        <v>41</v>
      </c>
      <c r="G30" t="s">
        <v>15</v>
      </c>
      <c r="H30">
        <v>3256</v>
      </c>
    </row>
    <row r="31" spans="1:8" x14ac:dyDescent="0.25">
      <c r="A31">
        <v>30</v>
      </c>
      <c r="B31" t="s">
        <v>73</v>
      </c>
      <c r="C31" t="s">
        <v>74</v>
      </c>
      <c r="D31" t="s">
        <v>9</v>
      </c>
      <c r="E31" t="s">
        <v>14</v>
      </c>
      <c r="F31">
        <v>28</v>
      </c>
      <c r="G31" t="s">
        <v>20</v>
      </c>
      <c r="H31">
        <v>3264</v>
      </c>
    </row>
    <row r="32" spans="1:8" x14ac:dyDescent="0.25">
      <c r="A32">
        <v>31</v>
      </c>
      <c r="B32" t="s">
        <v>75</v>
      </c>
      <c r="C32" t="s">
        <v>76</v>
      </c>
      <c r="D32" t="s">
        <v>9</v>
      </c>
      <c r="E32" t="s">
        <v>14</v>
      </c>
      <c r="F32">
        <v>37</v>
      </c>
      <c r="G32" s="2" t="s">
        <v>11</v>
      </c>
      <c r="H32">
        <v>4569</v>
      </c>
    </row>
    <row r="33" spans="1:8" x14ac:dyDescent="0.25">
      <c r="A33">
        <v>32</v>
      </c>
      <c r="B33" t="s">
        <v>77</v>
      </c>
      <c r="C33" t="s">
        <v>78</v>
      </c>
      <c r="D33" t="s">
        <v>9</v>
      </c>
      <c r="E33" t="s">
        <v>14</v>
      </c>
      <c r="F33">
        <v>34</v>
      </c>
      <c r="G33" t="s">
        <v>15</v>
      </c>
      <c r="H33">
        <v>7521</v>
      </c>
    </row>
    <row r="34" spans="1:8" x14ac:dyDescent="0.25">
      <c r="A34">
        <v>33</v>
      </c>
      <c r="B34" t="s">
        <v>79</v>
      </c>
      <c r="C34" t="s">
        <v>80</v>
      </c>
      <c r="D34" t="s">
        <v>9</v>
      </c>
      <c r="E34" t="s">
        <v>14</v>
      </c>
      <c r="F34">
        <v>26</v>
      </c>
      <c r="G34" t="s">
        <v>20</v>
      </c>
      <c r="H34">
        <v>6458</v>
      </c>
    </row>
    <row r="35" spans="1:8" x14ac:dyDescent="0.25">
      <c r="A35">
        <v>34</v>
      </c>
      <c r="B35" t="s">
        <v>81</v>
      </c>
      <c r="C35" t="s">
        <v>82</v>
      </c>
      <c r="D35" t="s">
        <v>9</v>
      </c>
      <c r="E35" t="s">
        <v>19</v>
      </c>
      <c r="F35">
        <v>35</v>
      </c>
      <c r="G35" t="s">
        <v>15</v>
      </c>
      <c r="H35">
        <v>7569</v>
      </c>
    </row>
    <row r="36" spans="1:8" x14ac:dyDescent="0.25">
      <c r="A36">
        <v>35</v>
      </c>
      <c r="B36" t="s">
        <v>83</v>
      </c>
      <c r="C36" t="s">
        <v>84</v>
      </c>
      <c r="D36" t="s">
        <v>18</v>
      </c>
      <c r="E36" t="s">
        <v>10</v>
      </c>
      <c r="F36">
        <v>36</v>
      </c>
      <c r="G36" t="s">
        <v>20</v>
      </c>
      <c r="H36">
        <v>8514</v>
      </c>
    </row>
    <row r="37" spans="1:8" x14ac:dyDescent="0.25">
      <c r="A37">
        <v>36</v>
      </c>
      <c r="B37" t="s">
        <v>85</v>
      </c>
      <c r="C37" t="s">
        <v>86</v>
      </c>
      <c r="D37" t="s">
        <v>9</v>
      </c>
      <c r="E37" t="s">
        <v>10</v>
      </c>
      <c r="F37">
        <v>29</v>
      </c>
      <c r="G37" s="2" t="s">
        <v>11</v>
      </c>
      <c r="H37">
        <v>8563</v>
      </c>
    </row>
    <row r="38" spans="1:8" x14ac:dyDescent="0.25">
      <c r="A38">
        <v>37</v>
      </c>
      <c r="B38" t="s">
        <v>87</v>
      </c>
      <c r="C38" t="s">
        <v>88</v>
      </c>
      <c r="D38" t="s">
        <v>9</v>
      </c>
      <c r="E38" t="s">
        <v>19</v>
      </c>
      <c r="F38">
        <v>27</v>
      </c>
      <c r="G38" t="s">
        <v>15</v>
      </c>
      <c r="H38">
        <v>8642</v>
      </c>
    </row>
    <row r="39" spans="1:8" x14ac:dyDescent="0.25">
      <c r="A39">
        <v>38</v>
      </c>
      <c r="B39" t="s">
        <v>89</v>
      </c>
      <c r="C39" t="s">
        <v>90</v>
      </c>
      <c r="D39" t="s">
        <v>9</v>
      </c>
      <c r="E39" t="s">
        <v>10</v>
      </c>
      <c r="F39">
        <v>25</v>
      </c>
      <c r="G39" t="s">
        <v>20</v>
      </c>
      <c r="H39">
        <v>9536</v>
      </c>
    </row>
    <row r="40" spans="1:8" x14ac:dyDescent="0.25">
      <c r="A40">
        <v>39</v>
      </c>
      <c r="B40" t="s">
        <v>91</v>
      </c>
      <c r="C40" t="s">
        <v>92</v>
      </c>
      <c r="D40" t="s">
        <v>9</v>
      </c>
      <c r="E40" t="s">
        <v>10</v>
      </c>
      <c r="F40">
        <v>36</v>
      </c>
      <c r="G40" t="s">
        <v>20</v>
      </c>
      <c r="H40">
        <v>2567</v>
      </c>
    </row>
    <row r="41" spans="1:8" x14ac:dyDescent="0.25">
      <c r="A41">
        <v>40</v>
      </c>
      <c r="B41" t="s">
        <v>93</v>
      </c>
      <c r="C41" t="s">
        <v>94</v>
      </c>
      <c r="D41" t="s">
        <v>18</v>
      </c>
      <c r="E41" t="s">
        <v>10</v>
      </c>
      <c r="F41">
        <v>37</v>
      </c>
      <c r="G41" s="2" t="s">
        <v>11</v>
      </c>
      <c r="H41">
        <v>2154</v>
      </c>
    </row>
    <row r="42" spans="1:8" x14ac:dyDescent="0.25">
      <c r="A42">
        <v>41</v>
      </c>
      <c r="B42" t="s">
        <v>95</v>
      </c>
      <c r="C42" t="s">
        <v>96</v>
      </c>
      <c r="D42" t="s">
        <v>18</v>
      </c>
      <c r="E42" t="s">
        <v>10</v>
      </c>
      <c r="F42">
        <v>26</v>
      </c>
      <c r="G42" t="s">
        <v>15</v>
      </c>
      <c r="H42">
        <v>3265</v>
      </c>
    </row>
    <row r="43" spans="1:8" x14ac:dyDescent="0.25">
      <c r="A43">
        <v>42</v>
      </c>
      <c r="B43" t="s">
        <v>97</v>
      </c>
      <c r="C43" t="s">
        <v>98</v>
      </c>
      <c r="D43" t="s">
        <v>9</v>
      </c>
      <c r="E43" t="s">
        <v>10</v>
      </c>
      <c r="F43">
        <v>37</v>
      </c>
      <c r="G43" t="s">
        <v>20</v>
      </c>
      <c r="H43">
        <v>8765</v>
      </c>
    </row>
    <row r="44" spans="1:8" x14ac:dyDescent="0.25">
      <c r="A44">
        <v>43</v>
      </c>
      <c r="B44" t="s">
        <v>99</v>
      </c>
      <c r="C44" t="s">
        <v>100</v>
      </c>
      <c r="D44" t="s">
        <v>18</v>
      </c>
      <c r="E44" t="s">
        <v>19</v>
      </c>
      <c r="F44">
        <v>24</v>
      </c>
      <c r="G44" s="2" t="s">
        <v>11</v>
      </c>
      <c r="H44">
        <v>3259</v>
      </c>
    </row>
    <row r="45" spans="1:8" x14ac:dyDescent="0.25">
      <c r="A45">
        <v>44</v>
      </c>
      <c r="B45" t="s">
        <v>101</v>
      </c>
      <c r="C45" t="s">
        <v>102</v>
      </c>
      <c r="D45" t="s">
        <v>9</v>
      </c>
      <c r="E45" t="s">
        <v>10</v>
      </c>
      <c r="F45">
        <v>39</v>
      </c>
      <c r="G45" t="s">
        <v>15</v>
      </c>
      <c r="H45">
        <v>3567</v>
      </c>
    </row>
    <row r="46" spans="1:8" x14ac:dyDescent="0.25">
      <c r="A46">
        <v>45</v>
      </c>
      <c r="B46" t="s">
        <v>103</v>
      </c>
      <c r="C46" t="s">
        <v>104</v>
      </c>
      <c r="D46" t="s">
        <v>18</v>
      </c>
      <c r="E46" t="s">
        <v>10</v>
      </c>
      <c r="F46">
        <v>26</v>
      </c>
      <c r="G46" t="s">
        <v>20</v>
      </c>
      <c r="H46">
        <v>6540</v>
      </c>
    </row>
    <row r="47" spans="1:8" x14ac:dyDescent="0.25">
      <c r="A47">
        <v>46</v>
      </c>
      <c r="B47" t="s">
        <v>105</v>
      </c>
      <c r="C47" t="s">
        <v>106</v>
      </c>
      <c r="D47" t="s">
        <v>9</v>
      </c>
      <c r="E47" t="s">
        <v>10</v>
      </c>
      <c r="F47">
        <v>34</v>
      </c>
      <c r="G47" s="2" t="s">
        <v>11</v>
      </c>
      <c r="H47">
        <v>2654</v>
      </c>
    </row>
    <row r="48" spans="1:8" x14ac:dyDescent="0.25">
      <c r="A48">
        <v>47</v>
      </c>
      <c r="B48" t="s">
        <v>107</v>
      </c>
      <c r="C48" t="s">
        <v>108</v>
      </c>
      <c r="D48" t="s">
        <v>9</v>
      </c>
      <c r="E48" t="s">
        <v>10</v>
      </c>
      <c r="F48">
        <v>28</v>
      </c>
      <c r="G48" t="s">
        <v>15</v>
      </c>
      <c r="H48">
        <v>6525</v>
      </c>
    </row>
    <row r="49" spans="1:8" x14ac:dyDescent="0.25">
      <c r="A49">
        <v>48</v>
      </c>
      <c r="B49" t="s">
        <v>109</v>
      </c>
      <c r="C49" t="s">
        <v>110</v>
      </c>
      <c r="D49" t="s">
        <v>9</v>
      </c>
      <c r="E49" t="s">
        <v>10</v>
      </c>
      <c r="F49">
        <v>32</v>
      </c>
      <c r="G49" t="s">
        <v>20</v>
      </c>
      <c r="H49">
        <v>3265</v>
      </c>
    </row>
    <row r="50" spans="1:8" x14ac:dyDescent="0.25">
      <c r="A50">
        <v>49</v>
      </c>
      <c r="B50" t="s">
        <v>111</v>
      </c>
      <c r="C50" t="s">
        <v>112</v>
      </c>
      <c r="D50" t="s">
        <v>18</v>
      </c>
      <c r="E50" t="s">
        <v>10</v>
      </c>
      <c r="F50">
        <v>39</v>
      </c>
      <c r="G50" s="2" t="s">
        <v>11</v>
      </c>
      <c r="H50">
        <v>3265</v>
      </c>
    </row>
    <row r="51" spans="1:8" x14ac:dyDescent="0.25">
      <c r="A51">
        <v>50</v>
      </c>
      <c r="B51" t="s">
        <v>113</v>
      </c>
      <c r="C51" t="s">
        <v>114</v>
      </c>
      <c r="D51" t="s">
        <v>9</v>
      </c>
      <c r="E51" t="s">
        <v>10</v>
      </c>
      <c r="F51">
        <v>29</v>
      </c>
      <c r="G51" t="s">
        <v>15</v>
      </c>
      <c r="H51">
        <v>6125</v>
      </c>
    </row>
    <row r="52" spans="1:8" x14ac:dyDescent="0.25">
      <c r="A52">
        <v>51</v>
      </c>
      <c r="B52" t="s">
        <v>7</v>
      </c>
      <c r="C52" t="s">
        <v>8</v>
      </c>
      <c r="D52" t="s">
        <v>9</v>
      </c>
      <c r="E52" t="s">
        <v>10</v>
      </c>
      <c r="F52">
        <v>32</v>
      </c>
      <c r="G52" s="2" t="s">
        <v>11</v>
      </c>
      <c r="H52">
        <v>1562</v>
      </c>
    </row>
    <row r="53" spans="1:8" x14ac:dyDescent="0.25">
      <c r="A53">
        <v>52</v>
      </c>
      <c r="B53" t="s">
        <v>12</v>
      </c>
      <c r="C53" t="s">
        <v>13</v>
      </c>
      <c r="D53" t="s">
        <v>9</v>
      </c>
      <c r="E53" t="s">
        <v>14</v>
      </c>
      <c r="F53">
        <v>25</v>
      </c>
      <c r="G53" t="s">
        <v>15</v>
      </c>
      <c r="H53">
        <v>1582</v>
      </c>
    </row>
    <row r="54" spans="1:8" x14ac:dyDescent="0.25">
      <c r="A54">
        <v>53</v>
      </c>
      <c r="B54" t="s">
        <v>16</v>
      </c>
      <c r="C54" t="s">
        <v>17</v>
      </c>
      <c r="D54" t="s">
        <v>18</v>
      </c>
      <c r="E54" t="s">
        <v>19</v>
      </c>
      <c r="F54">
        <v>36</v>
      </c>
      <c r="G54" t="s">
        <v>20</v>
      </c>
      <c r="H54">
        <v>2587</v>
      </c>
    </row>
    <row r="55" spans="1:8" x14ac:dyDescent="0.25">
      <c r="A55">
        <v>54</v>
      </c>
      <c r="B55" t="s">
        <v>21</v>
      </c>
      <c r="C55" t="s">
        <v>22</v>
      </c>
      <c r="D55" t="s">
        <v>9</v>
      </c>
      <c r="E55" s="3" t="s">
        <v>10</v>
      </c>
      <c r="F55">
        <v>25</v>
      </c>
      <c r="G55" s="2" t="s">
        <v>11</v>
      </c>
      <c r="H55">
        <v>3549</v>
      </c>
    </row>
    <row r="56" spans="1:8" x14ac:dyDescent="0.25">
      <c r="A56">
        <v>55</v>
      </c>
      <c r="B56" t="s">
        <v>23</v>
      </c>
      <c r="C56" t="s">
        <v>24</v>
      </c>
      <c r="D56" t="s">
        <v>9</v>
      </c>
      <c r="E56" s="3" t="s">
        <v>10</v>
      </c>
      <c r="F56">
        <v>58</v>
      </c>
      <c r="G56" t="s">
        <v>15</v>
      </c>
      <c r="H56">
        <v>2468</v>
      </c>
    </row>
    <row r="57" spans="1:8" x14ac:dyDescent="0.25">
      <c r="A57">
        <v>56</v>
      </c>
      <c r="B57" t="s">
        <v>25</v>
      </c>
      <c r="C57" t="s">
        <v>26</v>
      </c>
      <c r="D57" s="3" t="s">
        <v>18</v>
      </c>
      <c r="E57" s="3" t="s">
        <v>10</v>
      </c>
      <c r="F57">
        <v>24</v>
      </c>
      <c r="G57" t="s">
        <v>20</v>
      </c>
      <c r="H57">
        <v>2554</v>
      </c>
    </row>
    <row r="58" spans="1:8" x14ac:dyDescent="0.25">
      <c r="A58">
        <v>57</v>
      </c>
      <c r="B58" t="s">
        <v>27</v>
      </c>
      <c r="C58" t="s">
        <v>28</v>
      </c>
      <c r="D58" t="s">
        <v>9</v>
      </c>
      <c r="E58" t="s">
        <v>14</v>
      </c>
      <c r="F58">
        <v>56</v>
      </c>
      <c r="G58" s="2" t="s">
        <v>11</v>
      </c>
      <c r="H58">
        <v>3598</v>
      </c>
    </row>
    <row r="59" spans="1:8" x14ac:dyDescent="0.25">
      <c r="A59">
        <v>58</v>
      </c>
      <c r="B59" t="s">
        <v>29</v>
      </c>
      <c r="C59" t="s">
        <v>30</v>
      </c>
      <c r="D59" t="s">
        <v>9</v>
      </c>
      <c r="E59" s="3" t="s">
        <v>10</v>
      </c>
      <c r="F59">
        <v>27</v>
      </c>
      <c r="G59" t="s">
        <v>15</v>
      </c>
      <c r="H59">
        <v>2456</v>
      </c>
    </row>
    <row r="60" spans="1:8" x14ac:dyDescent="0.25">
      <c r="A60">
        <v>59</v>
      </c>
      <c r="B60" t="s">
        <v>31</v>
      </c>
      <c r="C60" t="s">
        <v>32</v>
      </c>
      <c r="D60" t="s">
        <v>9</v>
      </c>
      <c r="E60" s="3" t="s">
        <v>10</v>
      </c>
      <c r="F60">
        <v>40</v>
      </c>
      <c r="G60" t="s">
        <v>20</v>
      </c>
      <c r="H60">
        <v>6548</v>
      </c>
    </row>
    <row r="61" spans="1:8" x14ac:dyDescent="0.25">
      <c r="A61">
        <v>60</v>
      </c>
      <c r="B61" t="s">
        <v>33</v>
      </c>
      <c r="C61" t="s">
        <v>34</v>
      </c>
      <c r="D61" t="s">
        <v>9</v>
      </c>
      <c r="E61" t="s">
        <v>14</v>
      </c>
      <c r="F61">
        <v>28</v>
      </c>
      <c r="G61" t="s">
        <v>15</v>
      </c>
      <c r="H61">
        <v>5486</v>
      </c>
    </row>
    <row r="62" spans="1:8" x14ac:dyDescent="0.25">
      <c r="A62">
        <v>61</v>
      </c>
      <c r="B62" t="s">
        <v>35</v>
      </c>
      <c r="C62" t="s">
        <v>36</v>
      </c>
      <c r="D62" t="s">
        <v>9</v>
      </c>
      <c r="E62" t="s">
        <v>14</v>
      </c>
      <c r="F62">
        <v>39</v>
      </c>
      <c r="G62" t="s">
        <v>20</v>
      </c>
      <c r="H62">
        <v>1258</v>
      </c>
    </row>
    <row r="63" spans="1:8" x14ac:dyDescent="0.25">
      <c r="A63">
        <v>62</v>
      </c>
      <c r="B63" t="s">
        <v>37</v>
      </c>
      <c r="C63" t="s">
        <v>38</v>
      </c>
      <c r="D63" t="s">
        <v>18</v>
      </c>
      <c r="E63" t="s">
        <v>19</v>
      </c>
      <c r="F63">
        <v>38</v>
      </c>
      <c r="G63" s="2" t="s">
        <v>11</v>
      </c>
      <c r="H63">
        <v>2579</v>
      </c>
    </row>
    <row r="64" spans="1:8" x14ac:dyDescent="0.25">
      <c r="A64">
        <v>63</v>
      </c>
      <c r="B64" t="s">
        <v>39</v>
      </c>
      <c r="C64" t="s">
        <v>40</v>
      </c>
      <c r="D64" t="s">
        <v>9</v>
      </c>
      <c r="E64" t="s">
        <v>14</v>
      </c>
      <c r="F64">
        <v>32</v>
      </c>
      <c r="G64" t="s">
        <v>15</v>
      </c>
      <c r="H64">
        <v>3256</v>
      </c>
    </row>
    <row r="65" spans="1:8" x14ac:dyDescent="0.25">
      <c r="A65">
        <v>64</v>
      </c>
      <c r="B65" t="s">
        <v>41</v>
      </c>
      <c r="C65" t="s">
        <v>42</v>
      </c>
      <c r="D65" t="s">
        <v>18</v>
      </c>
      <c r="E65" t="s">
        <v>14</v>
      </c>
      <c r="F65">
        <v>26</v>
      </c>
      <c r="G65" t="s">
        <v>20</v>
      </c>
      <c r="H65">
        <v>2587</v>
      </c>
    </row>
    <row r="66" spans="1:8" x14ac:dyDescent="0.25">
      <c r="A66">
        <v>65</v>
      </c>
      <c r="B66" t="s">
        <v>43</v>
      </c>
      <c r="C66" t="s">
        <v>44</v>
      </c>
      <c r="D66" t="s">
        <v>9</v>
      </c>
      <c r="E66" t="s">
        <v>14</v>
      </c>
      <c r="F66">
        <v>31</v>
      </c>
      <c r="G66" t="s">
        <v>15</v>
      </c>
      <c r="H66">
        <v>3259</v>
      </c>
    </row>
    <row r="67" spans="1:8" x14ac:dyDescent="0.25">
      <c r="A67">
        <v>66</v>
      </c>
      <c r="B67" t="s">
        <v>45</v>
      </c>
      <c r="C67" t="s">
        <v>46</v>
      </c>
      <c r="D67" t="s">
        <v>9</v>
      </c>
      <c r="E67" t="s">
        <v>19</v>
      </c>
      <c r="F67">
        <v>24</v>
      </c>
      <c r="G67" t="s">
        <v>20</v>
      </c>
      <c r="H67">
        <v>1546</v>
      </c>
    </row>
    <row r="68" spans="1:8" x14ac:dyDescent="0.25">
      <c r="A68">
        <v>67</v>
      </c>
      <c r="B68" t="s">
        <v>47</v>
      </c>
      <c r="C68" t="s">
        <v>48</v>
      </c>
      <c r="D68" t="s">
        <v>9</v>
      </c>
      <c r="E68" t="s">
        <v>19</v>
      </c>
      <c r="F68">
        <v>39</v>
      </c>
      <c r="G68" s="2" t="s">
        <v>11</v>
      </c>
      <c r="H68">
        <v>3579</v>
      </c>
    </row>
    <row r="69" spans="1:8" x14ac:dyDescent="0.25">
      <c r="A69">
        <v>68</v>
      </c>
      <c r="B69" t="s">
        <v>49</v>
      </c>
      <c r="C69" t="s">
        <v>50</v>
      </c>
      <c r="D69" t="s">
        <v>9</v>
      </c>
      <c r="E69" t="s">
        <v>14</v>
      </c>
      <c r="F69">
        <v>28</v>
      </c>
      <c r="G69" t="s">
        <v>15</v>
      </c>
      <c r="H69">
        <v>6597</v>
      </c>
    </row>
    <row r="70" spans="1:8" x14ac:dyDescent="0.25">
      <c r="A70">
        <v>69</v>
      </c>
      <c r="B70" t="s">
        <v>51</v>
      </c>
      <c r="C70" t="s">
        <v>52</v>
      </c>
      <c r="D70" t="s">
        <v>9</v>
      </c>
      <c r="E70" t="s">
        <v>19</v>
      </c>
      <c r="F70">
        <v>26</v>
      </c>
      <c r="G70" t="s">
        <v>20</v>
      </c>
      <c r="H70">
        <v>9654</v>
      </c>
    </row>
    <row r="71" spans="1:8" x14ac:dyDescent="0.25">
      <c r="A71">
        <v>70</v>
      </c>
      <c r="B71" t="s">
        <v>53</v>
      </c>
      <c r="C71" t="s">
        <v>54</v>
      </c>
      <c r="D71" t="s">
        <v>9</v>
      </c>
      <c r="E71" t="s">
        <v>19</v>
      </c>
      <c r="F71">
        <v>46</v>
      </c>
      <c r="G71" t="s">
        <v>20</v>
      </c>
      <c r="H71">
        <v>3569</v>
      </c>
    </row>
    <row r="72" spans="1:8" x14ac:dyDescent="0.25">
      <c r="A72">
        <v>71</v>
      </c>
      <c r="B72" t="s">
        <v>55</v>
      </c>
      <c r="C72" t="s">
        <v>56</v>
      </c>
      <c r="D72" t="s">
        <v>9</v>
      </c>
      <c r="E72" t="s">
        <v>10</v>
      </c>
      <c r="F72">
        <v>37</v>
      </c>
      <c r="G72" s="2" t="s">
        <v>11</v>
      </c>
      <c r="H72">
        <v>2564</v>
      </c>
    </row>
    <row r="73" spans="1:8" x14ac:dyDescent="0.25">
      <c r="A73">
        <v>72</v>
      </c>
      <c r="B73" t="s">
        <v>57</v>
      </c>
      <c r="C73" t="s">
        <v>58</v>
      </c>
      <c r="D73" t="s">
        <v>9</v>
      </c>
      <c r="E73" t="s">
        <v>10</v>
      </c>
      <c r="F73">
        <v>52</v>
      </c>
      <c r="G73" t="s">
        <v>15</v>
      </c>
      <c r="H73">
        <v>8561</v>
      </c>
    </row>
    <row r="74" spans="1:8" x14ac:dyDescent="0.25">
      <c r="A74">
        <v>73</v>
      </c>
      <c r="B74" t="s">
        <v>59</v>
      </c>
      <c r="C74" t="s">
        <v>60</v>
      </c>
      <c r="D74" t="s">
        <v>9</v>
      </c>
      <c r="E74" t="s">
        <v>14</v>
      </c>
      <c r="F74">
        <v>46</v>
      </c>
      <c r="G74" t="s">
        <v>20</v>
      </c>
      <c r="H74">
        <v>5489</v>
      </c>
    </row>
    <row r="75" spans="1:8" x14ac:dyDescent="0.25">
      <c r="A75">
        <v>74</v>
      </c>
      <c r="B75" t="s">
        <v>61</v>
      </c>
      <c r="C75" t="s">
        <v>62</v>
      </c>
      <c r="D75" t="s">
        <v>9</v>
      </c>
      <c r="E75" t="s">
        <v>19</v>
      </c>
      <c r="F75">
        <v>42</v>
      </c>
      <c r="G75" t="s">
        <v>20</v>
      </c>
      <c r="H75">
        <v>5489</v>
      </c>
    </row>
    <row r="76" spans="1:8" x14ac:dyDescent="0.25">
      <c r="A76">
        <v>75</v>
      </c>
      <c r="B76" t="s">
        <v>63</v>
      </c>
      <c r="C76" t="s">
        <v>64</v>
      </c>
      <c r="D76" t="s">
        <v>18</v>
      </c>
      <c r="E76" t="s">
        <v>19</v>
      </c>
      <c r="F76">
        <v>21</v>
      </c>
      <c r="G76" s="2" t="s">
        <v>11</v>
      </c>
      <c r="H76">
        <v>6574</v>
      </c>
    </row>
    <row r="77" spans="1:8" x14ac:dyDescent="0.25">
      <c r="A77">
        <v>76</v>
      </c>
      <c r="B77" t="s">
        <v>65</v>
      </c>
      <c r="C77" t="s">
        <v>66</v>
      </c>
      <c r="D77" t="s">
        <v>9</v>
      </c>
      <c r="E77" t="s">
        <v>14</v>
      </c>
      <c r="F77">
        <v>28</v>
      </c>
      <c r="G77" t="s">
        <v>15</v>
      </c>
      <c r="H77">
        <v>5555</v>
      </c>
    </row>
    <row r="78" spans="1:8" x14ac:dyDescent="0.25">
      <c r="A78">
        <v>77</v>
      </c>
      <c r="B78" t="s">
        <v>67</v>
      </c>
      <c r="C78" t="s">
        <v>68</v>
      </c>
      <c r="D78" t="s">
        <v>9</v>
      </c>
      <c r="E78" t="s">
        <v>10</v>
      </c>
      <c r="F78">
        <v>29</v>
      </c>
      <c r="G78" t="s">
        <v>20</v>
      </c>
      <c r="H78">
        <v>6125</v>
      </c>
    </row>
    <row r="79" spans="1:8" x14ac:dyDescent="0.25">
      <c r="A79">
        <v>78</v>
      </c>
      <c r="B79" t="s">
        <v>69</v>
      </c>
      <c r="C79" t="s">
        <v>70</v>
      </c>
      <c r="D79" t="s">
        <v>9</v>
      </c>
      <c r="E79" t="s">
        <v>19</v>
      </c>
      <c r="F79">
        <v>23</v>
      </c>
      <c r="G79" s="2" t="s">
        <v>11</v>
      </c>
      <c r="H79">
        <v>5412</v>
      </c>
    </row>
    <row r="80" spans="1:8" x14ac:dyDescent="0.25">
      <c r="A80">
        <v>79</v>
      </c>
      <c r="B80" t="s">
        <v>71</v>
      </c>
      <c r="C80" t="s">
        <v>72</v>
      </c>
      <c r="D80" t="s">
        <v>18</v>
      </c>
      <c r="E80" t="s">
        <v>10</v>
      </c>
      <c r="F80">
        <v>41</v>
      </c>
      <c r="G80" t="s">
        <v>15</v>
      </c>
      <c r="H80">
        <v>3256</v>
      </c>
    </row>
    <row r="81" spans="1:8" x14ac:dyDescent="0.25">
      <c r="A81">
        <v>80</v>
      </c>
      <c r="B81" t="s">
        <v>73</v>
      </c>
      <c r="C81" t="s">
        <v>74</v>
      </c>
      <c r="D81" t="s">
        <v>9</v>
      </c>
      <c r="E81" t="s">
        <v>14</v>
      </c>
      <c r="F81">
        <v>28</v>
      </c>
      <c r="G81" t="s">
        <v>20</v>
      </c>
      <c r="H81">
        <v>3264</v>
      </c>
    </row>
    <row r="82" spans="1:8" x14ac:dyDescent="0.25">
      <c r="A82">
        <v>81</v>
      </c>
      <c r="B82" t="s">
        <v>75</v>
      </c>
      <c r="C82" t="s">
        <v>76</v>
      </c>
      <c r="D82" t="s">
        <v>9</v>
      </c>
      <c r="E82" t="s">
        <v>14</v>
      </c>
      <c r="F82">
        <v>37</v>
      </c>
      <c r="G82" s="2" t="s">
        <v>11</v>
      </c>
      <c r="H82">
        <v>4569</v>
      </c>
    </row>
    <row r="83" spans="1:8" x14ac:dyDescent="0.25">
      <c r="A83">
        <v>82</v>
      </c>
      <c r="B83" t="s">
        <v>77</v>
      </c>
      <c r="C83" t="s">
        <v>78</v>
      </c>
      <c r="D83" t="s">
        <v>9</v>
      </c>
      <c r="E83" t="s">
        <v>14</v>
      </c>
      <c r="F83">
        <v>34</v>
      </c>
      <c r="G83" t="s">
        <v>15</v>
      </c>
      <c r="H83">
        <v>7521</v>
      </c>
    </row>
    <row r="84" spans="1:8" x14ac:dyDescent="0.25">
      <c r="A84">
        <v>83</v>
      </c>
      <c r="B84" t="s">
        <v>79</v>
      </c>
      <c r="C84" t="s">
        <v>80</v>
      </c>
      <c r="D84" t="s">
        <v>9</v>
      </c>
      <c r="E84" t="s">
        <v>14</v>
      </c>
      <c r="F84">
        <v>26</v>
      </c>
      <c r="G84" t="s">
        <v>20</v>
      </c>
      <c r="H84">
        <v>6458</v>
      </c>
    </row>
    <row r="85" spans="1:8" x14ac:dyDescent="0.25">
      <c r="A85">
        <v>84</v>
      </c>
      <c r="B85" t="s">
        <v>81</v>
      </c>
      <c r="C85" t="s">
        <v>82</v>
      </c>
      <c r="D85" t="s">
        <v>9</v>
      </c>
      <c r="E85" t="s">
        <v>19</v>
      </c>
      <c r="F85">
        <v>35</v>
      </c>
      <c r="G85" t="s">
        <v>15</v>
      </c>
      <c r="H85">
        <v>7569</v>
      </c>
    </row>
    <row r="86" spans="1:8" x14ac:dyDescent="0.25">
      <c r="A86">
        <v>85</v>
      </c>
      <c r="B86" t="s">
        <v>83</v>
      </c>
      <c r="C86" t="s">
        <v>84</v>
      </c>
      <c r="D86" t="s">
        <v>18</v>
      </c>
      <c r="E86" t="s">
        <v>10</v>
      </c>
      <c r="F86">
        <v>36</v>
      </c>
      <c r="G86" t="s">
        <v>20</v>
      </c>
      <c r="H86">
        <v>8514</v>
      </c>
    </row>
    <row r="87" spans="1:8" x14ac:dyDescent="0.25">
      <c r="A87">
        <v>86</v>
      </c>
      <c r="B87" t="s">
        <v>85</v>
      </c>
      <c r="C87" t="s">
        <v>86</v>
      </c>
      <c r="D87" t="s">
        <v>9</v>
      </c>
      <c r="E87" t="s">
        <v>10</v>
      </c>
      <c r="F87">
        <v>29</v>
      </c>
      <c r="G87" s="2" t="s">
        <v>11</v>
      </c>
      <c r="H87">
        <v>8563</v>
      </c>
    </row>
    <row r="88" spans="1:8" x14ac:dyDescent="0.25">
      <c r="A88">
        <v>87</v>
      </c>
      <c r="B88" t="s">
        <v>87</v>
      </c>
      <c r="C88" t="s">
        <v>88</v>
      </c>
      <c r="D88" t="s">
        <v>9</v>
      </c>
      <c r="E88" t="s">
        <v>19</v>
      </c>
      <c r="F88">
        <v>27</v>
      </c>
      <c r="G88" t="s">
        <v>15</v>
      </c>
      <c r="H88">
        <v>8642</v>
      </c>
    </row>
    <row r="89" spans="1:8" x14ac:dyDescent="0.25">
      <c r="A89">
        <v>88</v>
      </c>
      <c r="B89" t="s">
        <v>89</v>
      </c>
      <c r="C89" t="s">
        <v>90</v>
      </c>
      <c r="D89" t="s">
        <v>9</v>
      </c>
      <c r="E89" t="s">
        <v>10</v>
      </c>
      <c r="F89">
        <v>25</v>
      </c>
      <c r="G89" t="s">
        <v>20</v>
      </c>
      <c r="H89">
        <v>9536</v>
      </c>
    </row>
    <row r="90" spans="1:8" x14ac:dyDescent="0.25">
      <c r="A90">
        <v>89</v>
      </c>
      <c r="B90" t="s">
        <v>91</v>
      </c>
      <c r="C90" t="s">
        <v>92</v>
      </c>
      <c r="D90" t="s">
        <v>9</v>
      </c>
      <c r="E90" t="s">
        <v>10</v>
      </c>
      <c r="F90">
        <v>36</v>
      </c>
      <c r="G90" t="s">
        <v>20</v>
      </c>
      <c r="H90">
        <v>2567</v>
      </c>
    </row>
    <row r="91" spans="1:8" x14ac:dyDescent="0.25">
      <c r="A91">
        <v>90</v>
      </c>
      <c r="B91" t="s">
        <v>93</v>
      </c>
      <c r="C91" t="s">
        <v>94</v>
      </c>
      <c r="D91" t="s">
        <v>18</v>
      </c>
      <c r="E91" t="s">
        <v>10</v>
      </c>
      <c r="F91">
        <v>37</v>
      </c>
      <c r="G91" s="2" t="s">
        <v>11</v>
      </c>
      <c r="H91">
        <v>2154</v>
      </c>
    </row>
    <row r="92" spans="1:8" x14ac:dyDescent="0.25">
      <c r="A92">
        <v>91</v>
      </c>
      <c r="B92" t="s">
        <v>95</v>
      </c>
      <c r="C92" t="s">
        <v>96</v>
      </c>
      <c r="D92" t="s">
        <v>18</v>
      </c>
      <c r="E92" t="s">
        <v>10</v>
      </c>
      <c r="F92">
        <v>26</v>
      </c>
      <c r="G92" t="s">
        <v>15</v>
      </c>
      <c r="H92">
        <v>3265</v>
      </c>
    </row>
    <row r="93" spans="1:8" x14ac:dyDescent="0.25">
      <c r="A93">
        <v>92</v>
      </c>
      <c r="B93" t="s">
        <v>97</v>
      </c>
      <c r="C93" t="s">
        <v>98</v>
      </c>
      <c r="D93" t="s">
        <v>9</v>
      </c>
      <c r="E93" t="s">
        <v>10</v>
      </c>
      <c r="F93">
        <v>37</v>
      </c>
      <c r="G93" t="s">
        <v>20</v>
      </c>
      <c r="H93">
        <v>8765</v>
      </c>
    </row>
    <row r="94" spans="1:8" x14ac:dyDescent="0.25">
      <c r="A94">
        <v>93</v>
      </c>
      <c r="B94" t="s">
        <v>99</v>
      </c>
      <c r="C94" t="s">
        <v>100</v>
      </c>
      <c r="D94" t="s">
        <v>18</v>
      </c>
      <c r="E94" t="s">
        <v>19</v>
      </c>
      <c r="F94">
        <v>24</v>
      </c>
      <c r="G94" s="2" t="s">
        <v>11</v>
      </c>
      <c r="H94">
        <v>3259</v>
      </c>
    </row>
    <row r="95" spans="1:8" x14ac:dyDescent="0.25">
      <c r="A95">
        <v>94</v>
      </c>
      <c r="B95" t="s">
        <v>101</v>
      </c>
      <c r="C95" t="s">
        <v>102</v>
      </c>
      <c r="D95" t="s">
        <v>9</v>
      </c>
      <c r="E95" t="s">
        <v>10</v>
      </c>
      <c r="F95">
        <v>39</v>
      </c>
      <c r="G95" t="s">
        <v>15</v>
      </c>
      <c r="H95">
        <v>3567</v>
      </c>
    </row>
    <row r="96" spans="1:8" x14ac:dyDescent="0.25">
      <c r="A96">
        <v>95</v>
      </c>
      <c r="B96" t="s">
        <v>103</v>
      </c>
      <c r="C96" t="s">
        <v>104</v>
      </c>
      <c r="D96" t="s">
        <v>18</v>
      </c>
      <c r="E96" t="s">
        <v>10</v>
      </c>
      <c r="F96">
        <v>26</v>
      </c>
      <c r="G96" t="s">
        <v>20</v>
      </c>
      <c r="H96">
        <v>6540</v>
      </c>
    </row>
    <row r="97" spans="1:8" x14ac:dyDescent="0.25">
      <c r="A97">
        <v>96</v>
      </c>
      <c r="B97" t="s">
        <v>105</v>
      </c>
      <c r="C97" t="s">
        <v>106</v>
      </c>
      <c r="D97" t="s">
        <v>9</v>
      </c>
      <c r="E97" t="s">
        <v>10</v>
      </c>
      <c r="F97">
        <v>34</v>
      </c>
      <c r="G97" s="2" t="s">
        <v>11</v>
      </c>
      <c r="H97">
        <v>2654</v>
      </c>
    </row>
    <row r="98" spans="1:8" x14ac:dyDescent="0.25">
      <c r="A98">
        <v>97</v>
      </c>
      <c r="B98" t="s">
        <v>107</v>
      </c>
      <c r="C98" t="s">
        <v>108</v>
      </c>
      <c r="D98" t="s">
        <v>9</v>
      </c>
      <c r="E98" t="s">
        <v>10</v>
      </c>
      <c r="F98">
        <v>28</v>
      </c>
      <c r="G98" t="s">
        <v>15</v>
      </c>
      <c r="H98">
        <v>6525</v>
      </c>
    </row>
    <row r="99" spans="1:8" x14ac:dyDescent="0.25">
      <c r="A99">
        <v>98</v>
      </c>
      <c r="B99" t="s">
        <v>109</v>
      </c>
      <c r="C99" t="s">
        <v>110</v>
      </c>
      <c r="D99" t="s">
        <v>9</v>
      </c>
      <c r="E99" t="s">
        <v>10</v>
      </c>
      <c r="F99">
        <v>32</v>
      </c>
      <c r="G99" t="s">
        <v>20</v>
      </c>
      <c r="H99">
        <v>3265</v>
      </c>
    </row>
    <row r="100" spans="1:8" x14ac:dyDescent="0.25">
      <c r="A100">
        <v>99</v>
      </c>
      <c r="B100" t="s">
        <v>111</v>
      </c>
      <c r="C100" t="s">
        <v>112</v>
      </c>
      <c r="D100" t="s">
        <v>18</v>
      </c>
      <c r="E100" t="s">
        <v>10</v>
      </c>
      <c r="F100">
        <v>39</v>
      </c>
      <c r="G100" s="2" t="s">
        <v>11</v>
      </c>
      <c r="H100">
        <v>3265</v>
      </c>
    </row>
    <row r="101" spans="1:8" x14ac:dyDescent="0.25">
      <c r="A101">
        <v>100</v>
      </c>
      <c r="B101" t="s">
        <v>113</v>
      </c>
      <c r="C101" t="s">
        <v>114</v>
      </c>
      <c r="D101" t="s">
        <v>9</v>
      </c>
      <c r="E101" t="s">
        <v>10</v>
      </c>
      <c r="F101">
        <v>29</v>
      </c>
      <c r="G101" t="s">
        <v>15</v>
      </c>
      <c r="H101">
        <v>6125</v>
      </c>
    </row>
  </sheetData>
  <sheetProtection selectLockedCells="1" selectUnlockedCells="1"/>
  <pageMargins left="0.78749999999999998" right="0.78749999999999998" top="1.0527777777777778" bottom="1.0527777777777778" header="0.78749999999999998" footer="0.78749999999999998"/>
  <pageSetup paperSize="9" orientation="portrait" useFirstPageNumber="1" horizontalDpi="300" verticalDpi="300"/>
  <headerFooter alignWithMargins="0">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tabSelected="1" workbookViewId="0">
      <selection activeCell="G2" sqref="G2"/>
    </sheetView>
  </sheetViews>
  <sheetFormatPr defaultRowHeight="13.2" x14ac:dyDescent="0.25"/>
  <cols>
    <col min="3" max="3" width="18.88671875" customWidth="1"/>
    <col min="6" max="7" width="12.44140625" customWidth="1"/>
    <col min="9" max="9" width="12.33203125" customWidth="1"/>
  </cols>
  <sheetData>
    <row r="1" spans="1:10" x14ac:dyDescent="0.25">
      <c r="A1" s="1">
        <v>0</v>
      </c>
      <c r="B1" s="1" t="s">
        <v>0</v>
      </c>
      <c r="C1" s="1" t="s">
        <v>116</v>
      </c>
      <c r="D1" s="1" t="s">
        <v>1</v>
      </c>
      <c r="E1" s="1" t="s">
        <v>2</v>
      </c>
      <c r="F1" s="1" t="s">
        <v>3</v>
      </c>
      <c r="G1" s="1" t="s">
        <v>115</v>
      </c>
      <c r="H1" s="1" t="s">
        <v>4</v>
      </c>
      <c r="I1" s="1" t="s">
        <v>5</v>
      </c>
      <c r="J1" s="1" t="s">
        <v>6</v>
      </c>
    </row>
    <row r="2" spans="1:10" x14ac:dyDescent="0.25">
      <c r="A2">
        <v>1</v>
      </c>
      <c r="B2" t="s">
        <v>7</v>
      </c>
      <c r="C2" t="str">
        <f>CONCATENATE(B2:B101," ",D2:D101)</f>
        <v>Dulce Abril</v>
      </c>
      <c r="D2" t="s">
        <v>8</v>
      </c>
      <c r="E2" t="s">
        <v>9</v>
      </c>
      <c r="F2" t="s">
        <v>10</v>
      </c>
      <c r="G2" t="str">
        <f>IF(H2&gt;50,"Old",IF(H2&gt;=31,"Middle Age",IF(H2&lt;31,"Adolecence","invalid")))</f>
        <v>Middle Age</v>
      </c>
      <c r="H2">
        <v>32</v>
      </c>
      <c r="I2" s="2" t="s">
        <v>11</v>
      </c>
      <c r="J2">
        <v>1562</v>
      </c>
    </row>
    <row r="3" spans="1:10" x14ac:dyDescent="0.25">
      <c r="A3">
        <v>2</v>
      </c>
      <c r="B3" t="s">
        <v>12</v>
      </c>
      <c r="C3" t="str">
        <f t="shared" ref="C3:C66" si="0">CONCATENATE(B3:B102," ",D3:D102)</f>
        <v>Mara Hashimoto</v>
      </c>
      <c r="D3" t="s">
        <v>13</v>
      </c>
      <c r="E3" t="s">
        <v>9</v>
      </c>
      <c r="F3" t="s">
        <v>14</v>
      </c>
      <c r="G3" t="str">
        <f>IF(H3&gt;50,"Old",IF(H3&gt;=31,"Middle Age",IF(H3&lt;31,"Adolecence","invalid")))</f>
        <v>Adolecence</v>
      </c>
      <c r="H3">
        <v>25</v>
      </c>
      <c r="I3" t="s">
        <v>15</v>
      </c>
      <c r="J3">
        <v>1582</v>
      </c>
    </row>
    <row r="4" spans="1:10" x14ac:dyDescent="0.25">
      <c r="A4">
        <v>3</v>
      </c>
      <c r="B4" t="s">
        <v>16</v>
      </c>
      <c r="C4" t="str">
        <f t="shared" si="0"/>
        <v>Philip Gent</v>
      </c>
      <c r="D4" t="s">
        <v>17</v>
      </c>
      <c r="E4" t="s">
        <v>18</v>
      </c>
      <c r="F4" t="s">
        <v>19</v>
      </c>
      <c r="G4" t="str">
        <f t="shared" ref="G4:G67" si="1">IF(H4&gt;50,"Old",IF(H4&gt;=31,"Middle Age",IF(H4&lt;31,"Adolecence","invalid")))</f>
        <v>Middle Age</v>
      </c>
      <c r="H4">
        <v>36</v>
      </c>
      <c r="I4" t="s">
        <v>20</v>
      </c>
      <c r="J4">
        <v>2587</v>
      </c>
    </row>
    <row r="5" spans="1:10" x14ac:dyDescent="0.25">
      <c r="A5">
        <v>4</v>
      </c>
      <c r="B5" t="s">
        <v>21</v>
      </c>
      <c r="C5" t="str">
        <f t="shared" si="0"/>
        <v>Kathleen Hanner</v>
      </c>
      <c r="D5" t="s">
        <v>22</v>
      </c>
      <c r="E5" t="s">
        <v>9</v>
      </c>
      <c r="F5" s="3" t="s">
        <v>10</v>
      </c>
      <c r="G5" t="str">
        <f t="shared" si="1"/>
        <v>Adolecence</v>
      </c>
      <c r="H5">
        <v>25</v>
      </c>
      <c r="I5" s="2" t="s">
        <v>11</v>
      </c>
      <c r="J5">
        <v>3549</v>
      </c>
    </row>
    <row r="6" spans="1:10" x14ac:dyDescent="0.25">
      <c r="A6">
        <v>5</v>
      </c>
      <c r="B6" t="s">
        <v>23</v>
      </c>
      <c r="C6" t="str">
        <f t="shared" si="0"/>
        <v>Nereida Magwood</v>
      </c>
      <c r="D6" t="s">
        <v>24</v>
      </c>
      <c r="E6" t="s">
        <v>9</v>
      </c>
      <c r="F6" s="3" t="s">
        <v>10</v>
      </c>
      <c r="G6" t="str">
        <f t="shared" si="1"/>
        <v>Old</v>
      </c>
      <c r="H6">
        <v>58</v>
      </c>
      <c r="I6" t="s">
        <v>15</v>
      </c>
      <c r="J6">
        <v>2468</v>
      </c>
    </row>
    <row r="7" spans="1:10" x14ac:dyDescent="0.25">
      <c r="A7">
        <v>6</v>
      </c>
      <c r="B7" t="s">
        <v>25</v>
      </c>
      <c r="C7" t="str">
        <f t="shared" si="0"/>
        <v>Gaston Brumm</v>
      </c>
      <c r="D7" t="s">
        <v>26</v>
      </c>
      <c r="E7" s="3" t="s">
        <v>18</v>
      </c>
      <c r="F7" s="3" t="s">
        <v>10</v>
      </c>
      <c r="G7" t="str">
        <f t="shared" si="1"/>
        <v>Adolecence</v>
      </c>
      <c r="H7">
        <v>24</v>
      </c>
      <c r="I7" t="s">
        <v>20</v>
      </c>
      <c r="J7">
        <v>2554</v>
      </c>
    </row>
    <row r="8" spans="1:10" x14ac:dyDescent="0.25">
      <c r="A8">
        <v>7</v>
      </c>
      <c r="B8" t="s">
        <v>27</v>
      </c>
      <c r="C8" t="str">
        <f t="shared" si="0"/>
        <v>Etta Hurn</v>
      </c>
      <c r="D8" t="s">
        <v>28</v>
      </c>
      <c r="E8" t="s">
        <v>9</v>
      </c>
      <c r="F8" t="s">
        <v>14</v>
      </c>
      <c r="G8" t="str">
        <f t="shared" si="1"/>
        <v>Old</v>
      </c>
      <c r="H8">
        <v>56</v>
      </c>
      <c r="I8" s="2" t="s">
        <v>11</v>
      </c>
      <c r="J8">
        <v>3598</v>
      </c>
    </row>
    <row r="9" spans="1:10" x14ac:dyDescent="0.25">
      <c r="A9">
        <v>8</v>
      </c>
      <c r="B9" t="s">
        <v>29</v>
      </c>
      <c r="C9" t="str">
        <f t="shared" si="0"/>
        <v>Earlean Melgar</v>
      </c>
      <c r="D9" t="s">
        <v>30</v>
      </c>
      <c r="E9" t="s">
        <v>9</v>
      </c>
      <c r="F9" s="3" t="s">
        <v>10</v>
      </c>
      <c r="G9" t="str">
        <f t="shared" si="1"/>
        <v>Adolecence</v>
      </c>
      <c r="H9">
        <v>27</v>
      </c>
      <c r="I9" t="s">
        <v>15</v>
      </c>
      <c r="J9">
        <v>2456</v>
      </c>
    </row>
    <row r="10" spans="1:10" x14ac:dyDescent="0.25">
      <c r="A10">
        <v>9</v>
      </c>
      <c r="B10" t="s">
        <v>31</v>
      </c>
      <c r="C10" t="str">
        <f t="shared" si="0"/>
        <v>Vincenza Weiland</v>
      </c>
      <c r="D10" t="s">
        <v>32</v>
      </c>
      <c r="E10" t="s">
        <v>9</v>
      </c>
      <c r="F10" s="3" t="s">
        <v>10</v>
      </c>
      <c r="G10" t="str">
        <f t="shared" si="1"/>
        <v>Middle Age</v>
      </c>
      <c r="H10">
        <v>40</v>
      </c>
      <c r="I10" t="s">
        <v>20</v>
      </c>
      <c r="J10">
        <v>6548</v>
      </c>
    </row>
    <row r="11" spans="1:10" x14ac:dyDescent="0.25">
      <c r="A11">
        <v>10</v>
      </c>
      <c r="B11" t="s">
        <v>33</v>
      </c>
      <c r="C11" t="str">
        <f t="shared" si="0"/>
        <v>Fallon Winward</v>
      </c>
      <c r="D11" t="s">
        <v>34</v>
      </c>
      <c r="E11" t="s">
        <v>9</v>
      </c>
      <c r="F11" t="s">
        <v>14</v>
      </c>
      <c r="G11" t="str">
        <f t="shared" si="1"/>
        <v>Adolecence</v>
      </c>
      <c r="H11">
        <v>28</v>
      </c>
      <c r="I11" t="s">
        <v>15</v>
      </c>
      <c r="J11">
        <v>5486</v>
      </c>
    </row>
    <row r="12" spans="1:10" x14ac:dyDescent="0.25">
      <c r="A12">
        <v>11</v>
      </c>
      <c r="B12" t="s">
        <v>35</v>
      </c>
      <c r="C12" t="str">
        <f t="shared" si="0"/>
        <v>Arcelia Bouska</v>
      </c>
      <c r="D12" t="s">
        <v>36</v>
      </c>
      <c r="E12" t="s">
        <v>9</v>
      </c>
      <c r="F12" t="s">
        <v>14</v>
      </c>
      <c r="G12" t="str">
        <f t="shared" si="1"/>
        <v>Middle Age</v>
      </c>
      <c r="H12">
        <v>39</v>
      </c>
      <c r="I12" t="s">
        <v>20</v>
      </c>
      <c r="J12">
        <v>1258</v>
      </c>
    </row>
    <row r="13" spans="1:10" x14ac:dyDescent="0.25">
      <c r="A13">
        <v>12</v>
      </c>
      <c r="B13" t="s">
        <v>37</v>
      </c>
      <c r="C13" t="str">
        <f t="shared" si="0"/>
        <v>Franklyn Unknow</v>
      </c>
      <c r="D13" t="s">
        <v>38</v>
      </c>
      <c r="E13" t="s">
        <v>18</v>
      </c>
      <c r="F13" t="s">
        <v>19</v>
      </c>
      <c r="G13" t="str">
        <f t="shared" si="1"/>
        <v>Middle Age</v>
      </c>
      <c r="H13">
        <v>38</v>
      </c>
      <c r="I13" s="2" t="s">
        <v>11</v>
      </c>
      <c r="J13">
        <v>2579</v>
      </c>
    </row>
    <row r="14" spans="1:10" x14ac:dyDescent="0.25">
      <c r="A14">
        <v>13</v>
      </c>
      <c r="B14" t="s">
        <v>39</v>
      </c>
      <c r="C14" t="str">
        <f t="shared" si="0"/>
        <v>Sherron Ascencio</v>
      </c>
      <c r="D14" t="s">
        <v>40</v>
      </c>
      <c r="E14" t="s">
        <v>9</v>
      </c>
      <c r="F14" t="s">
        <v>14</v>
      </c>
      <c r="G14" t="str">
        <f t="shared" si="1"/>
        <v>Middle Age</v>
      </c>
      <c r="H14">
        <v>32</v>
      </c>
      <c r="I14" t="s">
        <v>15</v>
      </c>
      <c r="J14">
        <v>3256</v>
      </c>
    </row>
    <row r="15" spans="1:10" x14ac:dyDescent="0.25">
      <c r="A15">
        <v>14</v>
      </c>
      <c r="B15" t="s">
        <v>41</v>
      </c>
      <c r="C15" t="str">
        <f t="shared" si="0"/>
        <v>Marcel Zabriskie</v>
      </c>
      <c r="D15" t="s">
        <v>42</v>
      </c>
      <c r="E15" t="s">
        <v>18</v>
      </c>
      <c r="F15" t="s">
        <v>14</v>
      </c>
      <c r="G15" t="str">
        <f t="shared" si="1"/>
        <v>Adolecence</v>
      </c>
      <c r="H15">
        <v>26</v>
      </c>
      <c r="I15" t="s">
        <v>20</v>
      </c>
      <c r="J15">
        <v>2587</v>
      </c>
    </row>
    <row r="16" spans="1:10" x14ac:dyDescent="0.25">
      <c r="A16">
        <v>15</v>
      </c>
      <c r="B16" t="s">
        <v>43</v>
      </c>
      <c r="C16" t="str">
        <f t="shared" si="0"/>
        <v>Kina Hazelton</v>
      </c>
      <c r="D16" t="s">
        <v>44</v>
      </c>
      <c r="E16" t="s">
        <v>9</v>
      </c>
      <c r="F16" t="s">
        <v>14</v>
      </c>
      <c r="G16" t="str">
        <f t="shared" si="1"/>
        <v>Middle Age</v>
      </c>
      <c r="H16">
        <v>31</v>
      </c>
      <c r="I16" t="s">
        <v>15</v>
      </c>
      <c r="J16">
        <v>3259</v>
      </c>
    </row>
    <row r="17" spans="1:10" x14ac:dyDescent="0.25">
      <c r="A17">
        <v>16</v>
      </c>
      <c r="B17" t="s">
        <v>45</v>
      </c>
      <c r="C17" t="str">
        <f t="shared" si="0"/>
        <v>Shavonne Pia</v>
      </c>
      <c r="D17" t="s">
        <v>46</v>
      </c>
      <c r="E17" t="s">
        <v>9</v>
      </c>
      <c r="F17" t="s">
        <v>19</v>
      </c>
      <c r="G17" t="str">
        <f t="shared" si="1"/>
        <v>Adolecence</v>
      </c>
      <c r="H17">
        <v>24</v>
      </c>
      <c r="I17" t="s">
        <v>20</v>
      </c>
      <c r="J17">
        <v>1546</v>
      </c>
    </row>
    <row r="18" spans="1:10" x14ac:dyDescent="0.25">
      <c r="A18">
        <v>17</v>
      </c>
      <c r="B18" t="s">
        <v>47</v>
      </c>
      <c r="C18" t="str">
        <f t="shared" si="0"/>
        <v>Shavon Benito</v>
      </c>
      <c r="D18" t="s">
        <v>48</v>
      </c>
      <c r="E18" t="s">
        <v>9</v>
      </c>
      <c r="F18" t="s">
        <v>19</v>
      </c>
      <c r="G18" t="str">
        <f t="shared" si="1"/>
        <v>Middle Age</v>
      </c>
      <c r="H18">
        <v>39</v>
      </c>
      <c r="I18" s="2" t="s">
        <v>11</v>
      </c>
      <c r="J18">
        <v>3579</v>
      </c>
    </row>
    <row r="19" spans="1:10" x14ac:dyDescent="0.25">
      <c r="A19">
        <v>18</v>
      </c>
      <c r="B19" t="s">
        <v>49</v>
      </c>
      <c r="C19" t="str">
        <f t="shared" si="0"/>
        <v>Lauralee Perrine</v>
      </c>
      <c r="D19" t="s">
        <v>50</v>
      </c>
      <c r="E19" t="s">
        <v>9</v>
      </c>
      <c r="F19" t="s">
        <v>14</v>
      </c>
      <c r="G19" t="str">
        <f t="shared" si="1"/>
        <v>Adolecence</v>
      </c>
      <c r="H19">
        <v>28</v>
      </c>
      <c r="I19" t="s">
        <v>15</v>
      </c>
      <c r="J19">
        <v>6597</v>
      </c>
    </row>
    <row r="20" spans="1:10" x14ac:dyDescent="0.25">
      <c r="A20">
        <v>19</v>
      </c>
      <c r="B20" t="s">
        <v>51</v>
      </c>
      <c r="C20" t="str">
        <f t="shared" si="0"/>
        <v>Loreta Curren</v>
      </c>
      <c r="D20" t="s">
        <v>52</v>
      </c>
      <c r="E20" t="s">
        <v>9</v>
      </c>
      <c r="F20" t="s">
        <v>19</v>
      </c>
      <c r="G20" t="str">
        <f t="shared" si="1"/>
        <v>Adolecence</v>
      </c>
      <c r="H20">
        <v>26</v>
      </c>
      <c r="I20" t="s">
        <v>20</v>
      </c>
      <c r="J20">
        <v>9654</v>
      </c>
    </row>
    <row r="21" spans="1:10" x14ac:dyDescent="0.25">
      <c r="A21">
        <v>20</v>
      </c>
      <c r="B21" t="s">
        <v>53</v>
      </c>
      <c r="C21" t="str">
        <f t="shared" si="0"/>
        <v>Teresa Strawn</v>
      </c>
      <c r="D21" t="s">
        <v>54</v>
      </c>
      <c r="E21" t="s">
        <v>9</v>
      </c>
      <c r="F21" t="s">
        <v>19</v>
      </c>
      <c r="G21" t="str">
        <f t="shared" si="1"/>
        <v>Middle Age</v>
      </c>
      <c r="H21">
        <v>46</v>
      </c>
      <c r="I21" t="s">
        <v>20</v>
      </c>
      <c r="J21">
        <v>3569</v>
      </c>
    </row>
    <row r="22" spans="1:10" x14ac:dyDescent="0.25">
      <c r="A22">
        <v>21</v>
      </c>
      <c r="B22" t="s">
        <v>55</v>
      </c>
      <c r="C22" t="str">
        <f t="shared" si="0"/>
        <v>Belinda Partain</v>
      </c>
      <c r="D22" t="s">
        <v>56</v>
      </c>
      <c r="E22" t="s">
        <v>9</v>
      </c>
      <c r="F22" t="s">
        <v>10</v>
      </c>
      <c r="G22" t="str">
        <f t="shared" si="1"/>
        <v>Middle Age</v>
      </c>
      <c r="H22">
        <v>37</v>
      </c>
      <c r="I22" s="2" t="s">
        <v>11</v>
      </c>
      <c r="J22">
        <v>2564</v>
      </c>
    </row>
    <row r="23" spans="1:10" x14ac:dyDescent="0.25">
      <c r="A23">
        <v>22</v>
      </c>
      <c r="B23" t="s">
        <v>57</v>
      </c>
      <c r="C23" t="str">
        <f t="shared" si="0"/>
        <v>Holly Eudy</v>
      </c>
      <c r="D23" t="s">
        <v>58</v>
      </c>
      <c r="E23" t="s">
        <v>9</v>
      </c>
      <c r="F23" t="s">
        <v>10</v>
      </c>
      <c r="G23" t="str">
        <f t="shared" si="1"/>
        <v>Old</v>
      </c>
      <c r="H23">
        <v>52</v>
      </c>
      <c r="I23" t="s">
        <v>15</v>
      </c>
      <c r="J23">
        <v>8561</v>
      </c>
    </row>
    <row r="24" spans="1:10" x14ac:dyDescent="0.25">
      <c r="A24">
        <v>23</v>
      </c>
      <c r="B24" t="s">
        <v>59</v>
      </c>
      <c r="C24" t="str">
        <f t="shared" si="0"/>
        <v>Many Cuccia</v>
      </c>
      <c r="D24" t="s">
        <v>60</v>
      </c>
      <c r="E24" t="s">
        <v>9</v>
      </c>
      <c r="F24" t="s">
        <v>14</v>
      </c>
      <c r="G24" t="str">
        <f t="shared" si="1"/>
        <v>Middle Age</v>
      </c>
      <c r="H24">
        <v>46</v>
      </c>
      <c r="I24" t="s">
        <v>20</v>
      </c>
      <c r="J24">
        <v>5489</v>
      </c>
    </row>
    <row r="25" spans="1:10" x14ac:dyDescent="0.25">
      <c r="A25">
        <v>24</v>
      </c>
      <c r="B25" t="s">
        <v>61</v>
      </c>
      <c r="C25" t="str">
        <f t="shared" si="0"/>
        <v>Libbie Dalby</v>
      </c>
      <c r="D25" t="s">
        <v>62</v>
      </c>
      <c r="E25" t="s">
        <v>9</v>
      </c>
      <c r="F25" t="s">
        <v>19</v>
      </c>
      <c r="G25" t="str">
        <f t="shared" si="1"/>
        <v>Middle Age</v>
      </c>
      <c r="H25">
        <v>42</v>
      </c>
      <c r="I25" t="s">
        <v>20</v>
      </c>
      <c r="J25">
        <v>5489</v>
      </c>
    </row>
    <row r="26" spans="1:10" x14ac:dyDescent="0.25">
      <c r="A26">
        <v>25</v>
      </c>
      <c r="B26" t="s">
        <v>63</v>
      </c>
      <c r="C26" t="str">
        <f t="shared" si="0"/>
        <v>Lester Prothro</v>
      </c>
      <c r="D26" t="s">
        <v>64</v>
      </c>
      <c r="E26" t="s">
        <v>18</v>
      </c>
      <c r="F26" t="s">
        <v>19</v>
      </c>
      <c r="G26" t="str">
        <f t="shared" si="1"/>
        <v>Adolecence</v>
      </c>
      <c r="H26">
        <v>21</v>
      </c>
      <c r="I26" s="2" t="s">
        <v>11</v>
      </c>
      <c r="J26">
        <v>6574</v>
      </c>
    </row>
    <row r="27" spans="1:10" x14ac:dyDescent="0.25">
      <c r="A27">
        <v>26</v>
      </c>
      <c r="B27" t="s">
        <v>65</v>
      </c>
      <c r="C27" t="str">
        <f t="shared" si="0"/>
        <v>Marvel Hail</v>
      </c>
      <c r="D27" t="s">
        <v>66</v>
      </c>
      <c r="E27" t="s">
        <v>9</v>
      </c>
      <c r="F27" t="s">
        <v>14</v>
      </c>
      <c r="G27" t="str">
        <f t="shared" si="1"/>
        <v>Adolecence</v>
      </c>
      <c r="H27">
        <v>28</v>
      </c>
      <c r="I27" t="s">
        <v>15</v>
      </c>
      <c r="J27">
        <v>5555</v>
      </c>
    </row>
    <row r="28" spans="1:10" x14ac:dyDescent="0.25">
      <c r="A28">
        <v>27</v>
      </c>
      <c r="B28" t="s">
        <v>67</v>
      </c>
      <c r="C28" t="str">
        <f t="shared" si="0"/>
        <v>Angelyn Vong</v>
      </c>
      <c r="D28" t="s">
        <v>68</v>
      </c>
      <c r="E28" t="s">
        <v>9</v>
      </c>
      <c r="F28" t="s">
        <v>10</v>
      </c>
      <c r="G28" t="str">
        <f t="shared" si="1"/>
        <v>Adolecence</v>
      </c>
      <c r="H28">
        <v>29</v>
      </c>
      <c r="I28" t="s">
        <v>20</v>
      </c>
      <c r="J28">
        <v>6125</v>
      </c>
    </row>
    <row r="29" spans="1:10" x14ac:dyDescent="0.25">
      <c r="A29">
        <v>28</v>
      </c>
      <c r="B29" t="s">
        <v>69</v>
      </c>
      <c r="C29" t="str">
        <f t="shared" si="0"/>
        <v>Francesca Beaudreau</v>
      </c>
      <c r="D29" t="s">
        <v>70</v>
      </c>
      <c r="E29" t="s">
        <v>9</v>
      </c>
      <c r="F29" t="s">
        <v>19</v>
      </c>
      <c r="G29" t="str">
        <f t="shared" si="1"/>
        <v>Adolecence</v>
      </c>
      <c r="H29">
        <v>23</v>
      </c>
      <c r="I29" s="2" t="s">
        <v>11</v>
      </c>
      <c r="J29">
        <v>5412</v>
      </c>
    </row>
    <row r="30" spans="1:10" x14ac:dyDescent="0.25">
      <c r="A30">
        <v>29</v>
      </c>
      <c r="B30" t="s">
        <v>71</v>
      </c>
      <c r="C30" t="str">
        <f t="shared" si="0"/>
        <v>Garth Gangi</v>
      </c>
      <c r="D30" t="s">
        <v>72</v>
      </c>
      <c r="E30" t="s">
        <v>18</v>
      </c>
      <c r="F30" t="s">
        <v>10</v>
      </c>
      <c r="G30" t="str">
        <f t="shared" si="1"/>
        <v>Middle Age</v>
      </c>
      <c r="H30">
        <v>41</v>
      </c>
      <c r="I30" t="s">
        <v>15</v>
      </c>
      <c r="J30">
        <v>3256</v>
      </c>
    </row>
    <row r="31" spans="1:10" x14ac:dyDescent="0.25">
      <c r="A31">
        <v>30</v>
      </c>
      <c r="B31" t="s">
        <v>73</v>
      </c>
      <c r="C31" t="str">
        <f t="shared" si="0"/>
        <v>Carla Trumbull</v>
      </c>
      <c r="D31" t="s">
        <v>74</v>
      </c>
      <c r="E31" t="s">
        <v>9</v>
      </c>
      <c r="F31" t="s">
        <v>14</v>
      </c>
      <c r="G31" t="str">
        <f t="shared" si="1"/>
        <v>Adolecence</v>
      </c>
      <c r="H31">
        <v>28</v>
      </c>
      <c r="I31" t="s">
        <v>20</v>
      </c>
      <c r="J31">
        <v>3264</v>
      </c>
    </row>
    <row r="32" spans="1:10" x14ac:dyDescent="0.25">
      <c r="A32">
        <v>31</v>
      </c>
      <c r="B32" t="s">
        <v>75</v>
      </c>
      <c r="C32" t="str">
        <f t="shared" si="0"/>
        <v>Veta Muntz</v>
      </c>
      <c r="D32" t="s">
        <v>76</v>
      </c>
      <c r="E32" t="s">
        <v>9</v>
      </c>
      <c r="F32" t="s">
        <v>14</v>
      </c>
      <c r="G32" t="str">
        <f t="shared" si="1"/>
        <v>Middle Age</v>
      </c>
      <c r="H32">
        <v>37</v>
      </c>
      <c r="I32" s="2" t="s">
        <v>11</v>
      </c>
      <c r="J32">
        <v>4569</v>
      </c>
    </row>
    <row r="33" spans="1:10" x14ac:dyDescent="0.25">
      <c r="A33">
        <v>32</v>
      </c>
      <c r="B33" t="s">
        <v>77</v>
      </c>
      <c r="C33" t="str">
        <f t="shared" si="0"/>
        <v>Stasia Becker</v>
      </c>
      <c r="D33" t="s">
        <v>78</v>
      </c>
      <c r="E33" t="s">
        <v>9</v>
      </c>
      <c r="F33" t="s">
        <v>14</v>
      </c>
      <c r="G33" t="str">
        <f t="shared" si="1"/>
        <v>Middle Age</v>
      </c>
      <c r="H33">
        <v>34</v>
      </c>
      <c r="I33" t="s">
        <v>15</v>
      </c>
      <c r="J33">
        <v>7521</v>
      </c>
    </row>
    <row r="34" spans="1:10" x14ac:dyDescent="0.25">
      <c r="A34">
        <v>33</v>
      </c>
      <c r="B34" t="s">
        <v>79</v>
      </c>
      <c r="C34" t="str">
        <f t="shared" si="0"/>
        <v>Jona Grindle</v>
      </c>
      <c r="D34" t="s">
        <v>80</v>
      </c>
      <c r="E34" t="s">
        <v>9</v>
      </c>
      <c r="F34" t="s">
        <v>14</v>
      </c>
      <c r="G34" t="str">
        <f t="shared" si="1"/>
        <v>Adolecence</v>
      </c>
      <c r="H34">
        <v>26</v>
      </c>
      <c r="I34" t="s">
        <v>20</v>
      </c>
      <c r="J34">
        <v>6458</v>
      </c>
    </row>
    <row r="35" spans="1:10" x14ac:dyDescent="0.25">
      <c r="A35">
        <v>34</v>
      </c>
      <c r="B35" t="s">
        <v>81</v>
      </c>
      <c r="C35" t="str">
        <f t="shared" si="0"/>
        <v>Judie Claywell</v>
      </c>
      <c r="D35" t="s">
        <v>82</v>
      </c>
      <c r="E35" t="s">
        <v>9</v>
      </c>
      <c r="F35" t="s">
        <v>19</v>
      </c>
      <c r="G35" t="str">
        <f t="shared" si="1"/>
        <v>Middle Age</v>
      </c>
      <c r="H35">
        <v>35</v>
      </c>
      <c r="I35" t="s">
        <v>15</v>
      </c>
      <c r="J35">
        <v>7569</v>
      </c>
    </row>
    <row r="36" spans="1:10" x14ac:dyDescent="0.25">
      <c r="A36">
        <v>35</v>
      </c>
      <c r="B36" t="s">
        <v>83</v>
      </c>
      <c r="C36" t="str">
        <f t="shared" si="0"/>
        <v>Dewitt Borger</v>
      </c>
      <c r="D36" t="s">
        <v>84</v>
      </c>
      <c r="E36" t="s">
        <v>18</v>
      </c>
      <c r="F36" t="s">
        <v>10</v>
      </c>
      <c r="G36" t="str">
        <f t="shared" si="1"/>
        <v>Middle Age</v>
      </c>
      <c r="H36">
        <v>36</v>
      </c>
      <c r="I36" t="s">
        <v>20</v>
      </c>
      <c r="J36">
        <v>8514</v>
      </c>
    </row>
    <row r="37" spans="1:10" x14ac:dyDescent="0.25">
      <c r="A37">
        <v>36</v>
      </c>
      <c r="B37" t="s">
        <v>85</v>
      </c>
      <c r="C37" t="str">
        <f t="shared" si="0"/>
        <v>Nena Hacker</v>
      </c>
      <c r="D37" t="s">
        <v>86</v>
      </c>
      <c r="E37" t="s">
        <v>9</v>
      </c>
      <c r="F37" t="s">
        <v>10</v>
      </c>
      <c r="G37" t="str">
        <f t="shared" si="1"/>
        <v>Adolecence</v>
      </c>
      <c r="H37">
        <v>29</v>
      </c>
      <c r="I37" s="2" t="s">
        <v>11</v>
      </c>
      <c r="J37">
        <v>8563</v>
      </c>
    </row>
    <row r="38" spans="1:10" x14ac:dyDescent="0.25">
      <c r="A38">
        <v>37</v>
      </c>
      <c r="B38" t="s">
        <v>87</v>
      </c>
      <c r="C38" t="str">
        <f t="shared" si="0"/>
        <v>Kelsie Wachtel</v>
      </c>
      <c r="D38" t="s">
        <v>88</v>
      </c>
      <c r="E38" t="s">
        <v>9</v>
      </c>
      <c r="F38" t="s">
        <v>19</v>
      </c>
      <c r="G38" t="str">
        <f t="shared" si="1"/>
        <v>Adolecence</v>
      </c>
      <c r="H38">
        <v>27</v>
      </c>
      <c r="I38" t="s">
        <v>15</v>
      </c>
      <c r="J38">
        <v>8642</v>
      </c>
    </row>
    <row r="39" spans="1:10" x14ac:dyDescent="0.25">
      <c r="A39">
        <v>38</v>
      </c>
      <c r="B39" t="s">
        <v>89</v>
      </c>
      <c r="C39" t="str">
        <f t="shared" si="0"/>
        <v>Sau Pfau</v>
      </c>
      <c r="D39" t="s">
        <v>90</v>
      </c>
      <c r="E39" t="s">
        <v>9</v>
      </c>
      <c r="F39" t="s">
        <v>10</v>
      </c>
      <c r="G39" t="str">
        <f t="shared" si="1"/>
        <v>Adolecence</v>
      </c>
      <c r="H39">
        <v>25</v>
      </c>
      <c r="I39" t="s">
        <v>20</v>
      </c>
      <c r="J39">
        <v>9536</v>
      </c>
    </row>
    <row r="40" spans="1:10" x14ac:dyDescent="0.25">
      <c r="A40">
        <v>39</v>
      </c>
      <c r="B40" t="s">
        <v>91</v>
      </c>
      <c r="C40" t="str">
        <f t="shared" si="0"/>
        <v>Shanice Mccrystal</v>
      </c>
      <c r="D40" t="s">
        <v>92</v>
      </c>
      <c r="E40" t="s">
        <v>9</v>
      </c>
      <c r="F40" t="s">
        <v>10</v>
      </c>
      <c r="G40" t="str">
        <f t="shared" si="1"/>
        <v>Middle Age</v>
      </c>
      <c r="H40">
        <v>36</v>
      </c>
      <c r="I40" t="s">
        <v>20</v>
      </c>
      <c r="J40">
        <v>2567</v>
      </c>
    </row>
    <row r="41" spans="1:10" x14ac:dyDescent="0.25">
      <c r="A41">
        <v>40</v>
      </c>
      <c r="B41" t="s">
        <v>93</v>
      </c>
      <c r="C41" t="str">
        <f t="shared" si="0"/>
        <v>Chase Karner</v>
      </c>
      <c r="D41" t="s">
        <v>94</v>
      </c>
      <c r="E41" t="s">
        <v>18</v>
      </c>
      <c r="F41" t="s">
        <v>10</v>
      </c>
      <c r="G41" t="str">
        <f t="shared" si="1"/>
        <v>Middle Age</v>
      </c>
      <c r="H41">
        <v>37</v>
      </c>
      <c r="I41" s="2" t="s">
        <v>11</v>
      </c>
      <c r="J41">
        <v>2154</v>
      </c>
    </row>
    <row r="42" spans="1:10" x14ac:dyDescent="0.25">
      <c r="A42">
        <v>41</v>
      </c>
      <c r="B42" t="s">
        <v>95</v>
      </c>
      <c r="C42" t="str">
        <f t="shared" si="0"/>
        <v>Tommie Underdahl</v>
      </c>
      <c r="D42" t="s">
        <v>96</v>
      </c>
      <c r="E42" t="s">
        <v>18</v>
      </c>
      <c r="F42" t="s">
        <v>10</v>
      </c>
      <c r="G42" t="str">
        <f t="shared" si="1"/>
        <v>Adolecence</v>
      </c>
      <c r="H42">
        <v>26</v>
      </c>
      <c r="I42" t="s">
        <v>15</v>
      </c>
      <c r="J42">
        <v>3265</v>
      </c>
    </row>
    <row r="43" spans="1:10" x14ac:dyDescent="0.25">
      <c r="A43">
        <v>42</v>
      </c>
      <c r="B43" t="s">
        <v>97</v>
      </c>
      <c r="C43" t="str">
        <f t="shared" si="0"/>
        <v>Dorcas Darity</v>
      </c>
      <c r="D43" t="s">
        <v>98</v>
      </c>
      <c r="E43" t="s">
        <v>9</v>
      </c>
      <c r="F43" t="s">
        <v>10</v>
      </c>
      <c r="G43" t="str">
        <f t="shared" si="1"/>
        <v>Middle Age</v>
      </c>
      <c r="H43">
        <v>37</v>
      </c>
      <c r="I43" t="s">
        <v>20</v>
      </c>
      <c r="J43">
        <v>8765</v>
      </c>
    </row>
    <row r="44" spans="1:10" x14ac:dyDescent="0.25">
      <c r="A44">
        <v>43</v>
      </c>
      <c r="B44" t="s">
        <v>99</v>
      </c>
      <c r="C44" t="str">
        <f t="shared" si="0"/>
        <v>Angel Sanor</v>
      </c>
      <c r="D44" t="s">
        <v>100</v>
      </c>
      <c r="E44" t="s">
        <v>18</v>
      </c>
      <c r="F44" t="s">
        <v>19</v>
      </c>
      <c r="G44" t="str">
        <f t="shared" si="1"/>
        <v>Adolecence</v>
      </c>
      <c r="H44">
        <v>24</v>
      </c>
      <c r="I44" s="2" t="s">
        <v>11</v>
      </c>
      <c r="J44">
        <v>3259</v>
      </c>
    </row>
    <row r="45" spans="1:10" x14ac:dyDescent="0.25">
      <c r="A45">
        <v>44</v>
      </c>
      <c r="B45" t="s">
        <v>101</v>
      </c>
      <c r="C45" t="str">
        <f t="shared" si="0"/>
        <v>Willodean Harn</v>
      </c>
      <c r="D45" t="s">
        <v>102</v>
      </c>
      <c r="E45" t="s">
        <v>9</v>
      </c>
      <c r="F45" t="s">
        <v>10</v>
      </c>
      <c r="G45" t="str">
        <f t="shared" si="1"/>
        <v>Middle Age</v>
      </c>
      <c r="H45">
        <v>39</v>
      </c>
      <c r="I45" t="s">
        <v>15</v>
      </c>
      <c r="J45">
        <v>3567</v>
      </c>
    </row>
    <row r="46" spans="1:10" x14ac:dyDescent="0.25">
      <c r="A46">
        <v>45</v>
      </c>
      <c r="B46" t="s">
        <v>103</v>
      </c>
      <c r="C46" t="str">
        <f t="shared" si="0"/>
        <v>Weston Martina</v>
      </c>
      <c r="D46" t="s">
        <v>104</v>
      </c>
      <c r="E46" t="s">
        <v>18</v>
      </c>
      <c r="F46" t="s">
        <v>10</v>
      </c>
      <c r="G46" t="str">
        <f t="shared" si="1"/>
        <v>Adolecence</v>
      </c>
      <c r="H46">
        <v>26</v>
      </c>
      <c r="I46" t="s">
        <v>20</v>
      </c>
      <c r="J46">
        <v>6540</v>
      </c>
    </row>
    <row r="47" spans="1:10" x14ac:dyDescent="0.25">
      <c r="A47">
        <v>46</v>
      </c>
      <c r="B47" t="s">
        <v>105</v>
      </c>
      <c r="C47" t="str">
        <f t="shared" si="0"/>
        <v>Roma Lafollette</v>
      </c>
      <c r="D47" t="s">
        <v>106</v>
      </c>
      <c r="E47" t="s">
        <v>9</v>
      </c>
      <c r="F47" t="s">
        <v>10</v>
      </c>
      <c r="G47" t="str">
        <f t="shared" si="1"/>
        <v>Middle Age</v>
      </c>
      <c r="H47">
        <v>34</v>
      </c>
      <c r="I47" s="2" t="s">
        <v>11</v>
      </c>
      <c r="J47">
        <v>2654</v>
      </c>
    </row>
    <row r="48" spans="1:10" x14ac:dyDescent="0.25">
      <c r="A48">
        <v>47</v>
      </c>
      <c r="B48" t="s">
        <v>107</v>
      </c>
      <c r="C48" t="str">
        <f t="shared" si="0"/>
        <v>Felisa Cail</v>
      </c>
      <c r="D48" t="s">
        <v>108</v>
      </c>
      <c r="E48" t="s">
        <v>9</v>
      </c>
      <c r="F48" t="s">
        <v>10</v>
      </c>
      <c r="G48" t="str">
        <f t="shared" si="1"/>
        <v>Adolecence</v>
      </c>
      <c r="H48">
        <v>28</v>
      </c>
      <c r="I48" t="s">
        <v>15</v>
      </c>
      <c r="J48">
        <v>6525</v>
      </c>
    </row>
    <row r="49" spans="1:10" x14ac:dyDescent="0.25">
      <c r="A49">
        <v>48</v>
      </c>
      <c r="B49" t="s">
        <v>109</v>
      </c>
      <c r="C49" t="str">
        <f t="shared" si="0"/>
        <v>Demetria Abbey</v>
      </c>
      <c r="D49" t="s">
        <v>110</v>
      </c>
      <c r="E49" t="s">
        <v>9</v>
      </c>
      <c r="F49" t="s">
        <v>10</v>
      </c>
      <c r="G49" t="str">
        <f t="shared" si="1"/>
        <v>Middle Age</v>
      </c>
      <c r="H49">
        <v>32</v>
      </c>
      <c r="I49" t="s">
        <v>20</v>
      </c>
      <c r="J49">
        <v>3265</v>
      </c>
    </row>
    <row r="50" spans="1:10" x14ac:dyDescent="0.25">
      <c r="A50">
        <v>49</v>
      </c>
      <c r="B50" t="s">
        <v>111</v>
      </c>
      <c r="C50" t="str">
        <f t="shared" si="0"/>
        <v>Jeromy Danz</v>
      </c>
      <c r="D50" t="s">
        <v>112</v>
      </c>
      <c r="E50" t="s">
        <v>18</v>
      </c>
      <c r="F50" t="s">
        <v>10</v>
      </c>
      <c r="G50" t="str">
        <f t="shared" si="1"/>
        <v>Middle Age</v>
      </c>
      <c r="H50">
        <v>39</v>
      </c>
      <c r="I50" s="2" t="s">
        <v>11</v>
      </c>
      <c r="J50">
        <v>3265</v>
      </c>
    </row>
    <row r="51" spans="1:10" x14ac:dyDescent="0.25">
      <c r="A51">
        <v>50</v>
      </c>
      <c r="B51" t="s">
        <v>113</v>
      </c>
      <c r="C51" t="str">
        <f t="shared" si="0"/>
        <v>Rasheeda Alkire</v>
      </c>
      <c r="D51" t="s">
        <v>114</v>
      </c>
      <c r="E51" t="s">
        <v>9</v>
      </c>
      <c r="F51" t="s">
        <v>10</v>
      </c>
      <c r="G51" t="str">
        <f t="shared" si="1"/>
        <v>Adolecence</v>
      </c>
      <c r="H51">
        <v>29</v>
      </c>
      <c r="I51" t="s">
        <v>15</v>
      </c>
      <c r="J51">
        <v>6125</v>
      </c>
    </row>
    <row r="52" spans="1:10" x14ac:dyDescent="0.25">
      <c r="A52">
        <v>51</v>
      </c>
      <c r="B52" t="s">
        <v>7</v>
      </c>
      <c r="C52" t="str">
        <f t="shared" si="0"/>
        <v>Dulce Abril</v>
      </c>
      <c r="D52" t="s">
        <v>8</v>
      </c>
      <c r="E52" t="s">
        <v>9</v>
      </c>
      <c r="F52" t="s">
        <v>10</v>
      </c>
      <c r="G52" t="str">
        <f t="shared" si="1"/>
        <v>Middle Age</v>
      </c>
      <c r="H52">
        <v>32</v>
      </c>
      <c r="I52" s="2" t="s">
        <v>11</v>
      </c>
      <c r="J52">
        <v>1562</v>
      </c>
    </row>
    <row r="53" spans="1:10" x14ac:dyDescent="0.25">
      <c r="A53">
        <v>52</v>
      </c>
      <c r="B53" t="s">
        <v>12</v>
      </c>
      <c r="C53" t="str">
        <f t="shared" si="0"/>
        <v>Mara Hashimoto</v>
      </c>
      <c r="D53" t="s">
        <v>13</v>
      </c>
      <c r="E53" t="s">
        <v>9</v>
      </c>
      <c r="F53" t="s">
        <v>14</v>
      </c>
      <c r="G53" t="str">
        <f t="shared" si="1"/>
        <v>Adolecence</v>
      </c>
      <c r="H53">
        <v>25</v>
      </c>
      <c r="I53" t="s">
        <v>15</v>
      </c>
      <c r="J53">
        <v>1582</v>
      </c>
    </row>
    <row r="54" spans="1:10" x14ac:dyDescent="0.25">
      <c r="A54">
        <v>53</v>
      </c>
      <c r="B54" t="s">
        <v>16</v>
      </c>
      <c r="C54" t="str">
        <f t="shared" si="0"/>
        <v>Philip Gent</v>
      </c>
      <c r="D54" t="s">
        <v>17</v>
      </c>
      <c r="E54" t="s">
        <v>18</v>
      </c>
      <c r="F54" t="s">
        <v>19</v>
      </c>
      <c r="G54" t="str">
        <f t="shared" si="1"/>
        <v>Middle Age</v>
      </c>
      <c r="H54">
        <v>36</v>
      </c>
      <c r="I54" t="s">
        <v>20</v>
      </c>
      <c r="J54">
        <v>2587</v>
      </c>
    </row>
    <row r="55" spans="1:10" x14ac:dyDescent="0.25">
      <c r="A55">
        <v>54</v>
      </c>
      <c r="B55" t="s">
        <v>21</v>
      </c>
      <c r="C55" t="str">
        <f t="shared" si="0"/>
        <v>Kathleen Hanner</v>
      </c>
      <c r="D55" t="s">
        <v>22</v>
      </c>
      <c r="E55" t="s">
        <v>9</v>
      </c>
      <c r="F55" s="3" t="s">
        <v>10</v>
      </c>
      <c r="G55" t="str">
        <f t="shared" si="1"/>
        <v>Adolecence</v>
      </c>
      <c r="H55">
        <v>25</v>
      </c>
      <c r="I55" s="2" t="s">
        <v>11</v>
      </c>
      <c r="J55">
        <v>3549</v>
      </c>
    </row>
    <row r="56" spans="1:10" x14ac:dyDescent="0.25">
      <c r="A56">
        <v>55</v>
      </c>
      <c r="B56" t="s">
        <v>23</v>
      </c>
      <c r="C56" t="str">
        <f t="shared" si="0"/>
        <v>Nereida Magwood</v>
      </c>
      <c r="D56" t="s">
        <v>24</v>
      </c>
      <c r="E56" t="s">
        <v>9</v>
      </c>
      <c r="F56" s="3" t="s">
        <v>10</v>
      </c>
      <c r="G56" t="str">
        <f t="shared" si="1"/>
        <v>Old</v>
      </c>
      <c r="H56">
        <v>58</v>
      </c>
      <c r="I56" t="s">
        <v>15</v>
      </c>
      <c r="J56">
        <v>2468</v>
      </c>
    </row>
    <row r="57" spans="1:10" x14ac:dyDescent="0.25">
      <c r="A57">
        <v>56</v>
      </c>
      <c r="B57" t="s">
        <v>25</v>
      </c>
      <c r="C57" t="str">
        <f t="shared" si="0"/>
        <v>Gaston Brumm</v>
      </c>
      <c r="D57" t="s">
        <v>26</v>
      </c>
      <c r="E57" s="3" t="s">
        <v>18</v>
      </c>
      <c r="F57" s="3" t="s">
        <v>10</v>
      </c>
      <c r="G57" t="str">
        <f t="shared" si="1"/>
        <v>Adolecence</v>
      </c>
      <c r="H57">
        <v>24</v>
      </c>
      <c r="I57" t="s">
        <v>20</v>
      </c>
      <c r="J57">
        <v>2554</v>
      </c>
    </row>
    <row r="58" spans="1:10" x14ac:dyDescent="0.25">
      <c r="A58">
        <v>57</v>
      </c>
      <c r="B58" t="s">
        <v>27</v>
      </c>
      <c r="C58" t="str">
        <f t="shared" si="0"/>
        <v>Etta Hurn</v>
      </c>
      <c r="D58" t="s">
        <v>28</v>
      </c>
      <c r="E58" t="s">
        <v>9</v>
      </c>
      <c r="F58" t="s">
        <v>14</v>
      </c>
      <c r="G58" t="str">
        <f t="shared" si="1"/>
        <v>Old</v>
      </c>
      <c r="H58">
        <v>56</v>
      </c>
      <c r="I58" s="2" t="s">
        <v>11</v>
      </c>
      <c r="J58">
        <v>3598</v>
      </c>
    </row>
    <row r="59" spans="1:10" x14ac:dyDescent="0.25">
      <c r="A59">
        <v>58</v>
      </c>
      <c r="B59" t="s">
        <v>29</v>
      </c>
      <c r="C59" t="str">
        <f t="shared" si="0"/>
        <v>Earlean Melgar</v>
      </c>
      <c r="D59" t="s">
        <v>30</v>
      </c>
      <c r="E59" t="s">
        <v>9</v>
      </c>
      <c r="F59" s="3" t="s">
        <v>10</v>
      </c>
      <c r="G59" t="str">
        <f t="shared" si="1"/>
        <v>Adolecence</v>
      </c>
      <c r="H59">
        <v>27</v>
      </c>
      <c r="I59" t="s">
        <v>15</v>
      </c>
      <c r="J59">
        <v>2456</v>
      </c>
    </row>
    <row r="60" spans="1:10" x14ac:dyDescent="0.25">
      <c r="A60">
        <v>59</v>
      </c>
      <c r="B60" t="s">
        <v>31</v>
      </c>
      <c r="C60" t="str">
        <f t="shared" si="0"/>
        <v>Vincenza Weiland</v>
      </c>
      <c r="D60" t="s">
        <v>32</v>
      </c>
      <c r="E60" t="s">
        <v>9</v>
      </c>
      <c r="F60" s="3" t="s">
        <v>10</v>
      </c>
      <c r="G60" t="str">
        <f t="shared" si="1"/>
        <v>Middle Age</v>
      </c>
      <c r="H60">
        <v>40</v>
      </c>
      <c r="I60" t="s">
        <v>20</v>
      </c>
      <c r="J60">
        <v>6548</v>
      </c>
    </row>
    <row r="61" spans="1:10" x14ac:dyDescent="0.25">
      <c r="A61">
        <v>60</v>
      </c>
      <c r="B61" t="s">
        <v>33</v>
      </c>
      <c r="C61" t="str">
        <f t="shared" si="0"/>
        <v>Fallon Winward</v>
      </c>
      <c r="D61" t="s">
        <v>34</v>
      </c>
      <c r="E61" t="s">
        <v>9</v>
      </c>
      <c r="F61" t="s">
        <v>14</v>
      </c>
      <c r="G61" t="str">
        <f t="shared" si="1"/>
        <v>Adolecence</v>
      </c>
      <c r="H61">
        <v>28</v>
      </c>
      <c r="I61" t="s">
        <v>15</v>
      </c>
      <c r="J61">
        <v>5486</v>
      </c>
    </row>
    <row r="62" spans="1:10" x14ac:dyDescent="0.25">
      <c r="A62">
        <v>61</v>
      </c>
      <c r="B62" t="s">
        <v>35</v>
      </c>
      <c r="C62" t="str">
        <f t="shared" si="0"/>
        <v>Arcelia Bouska</v>
      </c>
      <c r="D62" t="s">
        <v>36</v>
      </c>
      <c r="E62" t="s">
        <v>9</v>
      </c>
      <c r="F62" t="s">
        <v>14</v>
      </c>
      <c r="G62" t="str">
        <f t="shared" si="1"/>
        <v>Middle Age</v>
      </c>
      <c r="H62">
        <v>39</v>
      </c>
      <c r="I62" t="s">
        <v>20</v>
      </c>
      <c r="J62">
        <v>1258</v>
      </c>
    </row>
    <row r="63" spans="1:10" x14ac:dyDescent="0.25">
      <c r="A63">
        <v>62</v>
      </c>
      <c r="B63" t="s">
        <v>37</v>
      </c>
      <c r="C63" t="str">
        <f t="shared" si="0"/>
        <v>Franklyn Unknow</v>
      </c>
      <c r="D63" t="s">
        <v>38</v>
      </c>
      <c r="E63" t="s">
        <v>18</v>
      </c>
      <c r="F63" t="s">
        <v>19</v>
      </c>
      <c r="G63" t="str">
        <f t="shared" si="1"/>
        <v>Middle Age</v>
      </c>
      <c r="H63">
        <v>38</v>
      </c>
      <c r="I63" s="2" t="s">
        <v>11</v>
      </c>
      <c r="J63">
        <v>2579</v>
      </c>
    </row>
    <row r="64" spans="1:10" x14ac:dyDescent="0.25">
      <c r="A64">
        <v>63</v>
      </c>
      <c r="B64" t="s">
        <v>39</v>
      </c>
      <c r="C64" t="str">
        <f t="shared" si="0"/>
        <v>Sherron Ascencio</v>
      </c>
      <c r="D64" t="s">
        <v>40</v>
      </c>
      <c r="E64" t="s">
        <v>9</v>
      </c>
      <c r="F64" t="s">
        <v>14</v>
      </c>
      <c r="G64" t="str">
        <f t="shared" si="1"/>
        <v>Middle Age</v>
      </c>
      <c r="H64">
        <v>32</v>
      </c>
      <c r="I64" t="s">
        <v>15</v>
      </c>
      <c r="J64">
        <v>3256</v>
      </c>
    </row>
    <row r="65" spans="1:10" x14ac:dyDescent="0.25">
      <c r="A65">
        <v>64</v>
      </c>
      <c r="B65" t="s">
        <v>41</v>
      </c>
      <c r="C65" t="str">
        <f t="shared" si="0"/>
        <v>Marcel Zabriskie</v>
      </c>
      <c r="D65" t="s">
        <v>42</v>
      </c>
      <c r="E65" t="s">
        <v>18</v>
      </c>
      <c r="F65" t="s">
        <v>14</v>
      </c>
      <c r="G65" t="str">
        <f t="shared" si="1"/>
        <v>Adolecence</v>
      </c>
      <c r="H65">
        <v>26</v>
      </c>
      <c r="I65" t="s">
        <v>20</v>
      </c>
      <c r="J65">
        <v>2587</v>
      </c>
    </row>
    <row r="66" spans="1:10" x14ac:dyDescent="0.25">
      <c r="A66">
        <v>65</v>
      </c>
      <c r="B66" t="s">
        <v>43</v>
      </c>
      <c r="C66" t="str">
        <f t="shared" si="0"/>
        <v>Kina Hazelton</v>
      </c>
      <c r="D66" t="s">
        <v>44</v>
      </c>
      <c r="E66" t="s">
        <v>9</v>
      </c>
      <c r="F66" t="s">
        <v>14</v>
      </c>
      <c r="G66" t="str">
        <f t="shared" si="1"/>
        <v>Middle Age</v>
      </c>
      <c r="H66">
        <v>31</v>
      </c>
      <c r="I66" t="s">
        <v>15</v>
      </c>
      <c r="J66">
        <v>3259</v>
      </c>
    </row>
    <row r="67" spans="1:10" x14ac:dyDescent="0.25">
      <c r="A67">
        <v>66</v>
      </c>
      <c r="B67" t="s">
        <v>45</v>
      </c>
      <c r="C67" t="str">
        <f t="shared" ref="C67:C101" si="2">CONCATENATE(B67:B166," ",D67:D166)</f>
        <v>Shavonne Pia</v>
      </c>
      <c r="D67" t="s">
        <v>46</v>
      </c>
      <c r="E67" t="s">
        <v>9</v>
      </c>
      <c r="F67" t="s">
        <v>19</v>
      </c>
      <c r="G67" t="str">
        <f t="shared" si="1"/>
        <v>Adolecence</v>
      </c>
      <c r="H67">
        <v>24</v>
      </c>
      <c r="I67" t="s">
        <v>20</v>
      </c>
      <c r="J67">
        <v>1546</v>
      </c>
    </row>
    <row r="68" spans="1:10" x14ac:dyDescent="0.25">
      <c r="A68">
        <v>67</v>
      </c>
      <c r="B68" t="s">
        <v>47</v>
      </c>
      <c r="C68" t="str">
        <f t="shared" si="2"/>
        <v>Shavon Benito</v>
      </c>
      <c r="D68" t="s">
        <v>48</v>
      </c>
      <c r="E68" t="s">
        <v>9</v>
      </c>
      <c r="F68" t="s">
        <v>19</v>
      </c>
      <c r="G68" t="str">
        <f t="shared" ref="G68:G101" si="3">IF(H68&gt;50,"Old",IF(H68&gt;=31,"Middle Age",IF(H68&lt;31,"Adolecence","invalid")))</f>
        <v>Middle Age</v>
      </c>
      <c r="H68">
        <v>39</v>
      </c>
      <c r="I68" s="2" t="s">
        <v>11</v>
      </c>
      <c r="J68">
        <v>3579</v>
      </c>
    </row>
    <row r="69" spans="1:10" x14ac:dyDescent="0.25">
      <c r="A69">
        <v>68</v>
      </c>
      <c r="B69" t="s">
        <v>49</v>
      </c>
      <c r="C69" t="str">
        <f t="shared" si="2"/>
        <v>Lauralee Perrine</v>
      </c>
      <c r="D69" t="s">
        <v>50</v>
      </c>
      <c r="E69" t="s">
        <v>9</v>
      </c>
      <c r="F69" t="s">
        <v>14</v>
      </c>
      <c r="G69" t="str">
        <f t="shared" si="3"/>
        <v>Adolecence</v>
      </c>
      <c r="H69">
        <v>28</v>
      </c>
      <c r="I69" t="s">
        <v>15</v>
      </c>
      <c r="J69">
        <v>6597</v>
      </c>
    </row>
    <row r="70" spans="1:10" x14ac:dyDescent="0.25">
      <c r="A70">
        <v>69</v>
      </c>
      <c r="B70" t="s">
        <v>51</v>
      </c>
      <c r="C70" t="str">
        <f t="shared" si="2"/>
        <v>Loreta Curren</v>
      </c>
      <c r="D70" t="s">
        <v>52</v>
      </c>
      <c r="E70" t="s">
        <v>9</v>
      </c>
      <c r="F70" t="s">
        <v>19</v>
      </c>
      <c r="G70" t="str">
        <f t="shared" si="3"/>
        <v>Adolecence</v>
      </c>
      <c r="H70">
        <v>26</v>
      </c>
      <c r="I70" t="s">
        <v>20</v>
      </c>
      <c r="J70">
        <v>9654</v>
      </c>
    </row>
    <row r="71" spans="1:10" x14ac:dyDescent="0.25">
      <c r="A71">
        <v>70</v>
      </c>
      <c r="B71" t="s">
        <v>53</v>
      </c>
      <c r="C71" t="str">
        <f t="shared" si="2"/>
        <v>Teresa Strawn</v>
      </c>
      <c r="D71" t="s">
        <v>54</v>
      </c>
      <c r="E71" t="s">
        <v>9</v>
      </c>
      <c r="F71" t="s">
        <v>19</v>
      </c>
      <c r="G71" t="str">
        <f t="shared" si="3"/>
        <v>Middle Age</v>
      </c>
      <c r="H71">
        <v>46</v>
      </c>
      <c r="I71" t="s">
        <v>20</v>
      </c>
      <c r="J71">
        <v>3569</v>
      </c>
    </row>
    <row r="72" spans="1:10" x14ac:dyDescent="0.25">
      <c r="A72">
        <v>71</v>
      </c>
      <c r="B72" t="s">
        <v>55</v>
      </c>
      <c r="C72" t="str">
        <f t="shared" si="2"/>
        <v>Belinda Partain</v>
      </c>
      <c r="D72" t="s">
        <v>56</v>
      </c>
      <c r="E72" t="s">
        <v>9</v>
      </c>
      <c r="F72" t="s">
        <v>10</v>
      </c>
      <c r="G72" t="str">
        <f t="shared" si="3"/>
        <v>Middle Age</v>
      </c>
      <c r="H72">
        <v>37</v>
      </c>
      <c r="I72" s="2" t="s">
        <v>11</v>
      </c>
      <c r="J72">
        <v>2564</v>
      </c>
    </row>
    <row r="73" spans="1:10" x14ac:dyDescent="0.25">
      <c r="A73">
        <v>72</v>
      </c>
      <c r="B73" t="s">
        <v>57</v>
      </c>
      <c r="C73" t="str">
        <f t="shared" si="2"/>
        <v>Holly Eudy</v>
      </c>
      <c r="D73" t="s">
        <v>58</v>
      </c>
      <c r="E73" t="s">
        <v>9</v>
      </c>
      <c r="F73" t="s">
        <v>10</v>
      </c>
      <c r="G73" t="str">
        <f t="shared" si="3"/>
        <v>Old</v>
      </c>
      <c r="H73">
        <v>52</v>
      </c>
      <c r="I73" t="s">
        <v>15</v>
      </c>
      <c r="J73">
        <v>8561</v>
      </c>
    </row>
    <row r="74" spans="1:10" x14ac:dyDescent="0.25">
      <c r="A74">
        <v>73</v>
      </c>
      <c r="B74" t="s">
        <v>59</v>
      </c>
      <c r="C74" t="str">
        <f t="shared" si="2"/>
        <v>Many Cuccia</v>
      </c>
      <c r="D74" t="s">
        <v>60</v>
      </c>
      <c r="E74" t="s">
        <v>9</v>
      </c>
      <c r="F74" t="s">
        <v>14</v>
      </c>
      <c r="G74" t="str">
        <f t="shared" si="3"/>
        <v>Middle Age</v>
      </c>
      <c r="H74">
        <v>46</v>
      </c>
      <c r="I74" t="s">
        <v>20</v>
      </c>
      <c r="J74">
        <v>5489</v>
      </c>
    </row>
    <row r="75" spans="1:10" x14ac:dyDescent="0.25">
      <c r="A75">
        <v>74</v>
      </c>
      <c r="B75" t="s">
        <v>61</v>
      </c>
      <c r="C75" t="str">
        <f t="shared" si="2"/>
        <v>Libbie Dalby</v>
      </c>
      <c r="D75" t="s">
        <v>62</v>
      </c>
      <c r="E75" t="s">
        <v>9</v>
      </c>
      <c r="F75" t="s">
        <v>19</v>
      </c>
      <c r="G75" t="str">
        <f t="shared" si="3"/>
        <v>Middle Age</v>
      </c>
      <c r="H75">
        <v>42</v>
      </c>
      <c r="I75" t="s">
        <v>20</v>
      </c>
      <c r="J75">
        <v>5489</v>
      </c>
    </row>
    <row r="76" spans="1:10" x14ac:dyDescent="0.25">
      <c r="A76">
        <v>75</v>
      </c>
      <c r="B76" t="s">
        <v>63</v>
      </c>
      <c r="C76" t="str">
        <f t="shared" si="2"/>
        <v>Lester Prothro</v>
      </c>
      <c r="D76" t="s">
        <v>64</v>
      </c>
      <c r="E76" t="s">
        <v>18</v>
      </c>
      <c r="F76" t="s">
        <v>19</v>
      </c>
      <c r="G76" t="str">
        <f t="shared" si="3"/>
        <v>Adolecence</v>
      </c>
      <c r="H76">
        <v>21</v>
      </c>
      <c r="I76" s="2" t="s">
        <v>11</v>
      </c>
      <c r="J76">
        <v>6574</v>
      </c>
    </row>
    <row r="77" spans="1:10" x14ac:dyDescent="0.25">
      <c r="A77">
        <v>76</v>
      </c>
      <c r="B77" t="s">
        <v>65</v>
      </c>
      <c r="C77" t="str">
        <f t="shared" si="2"/>
        <v>Marvel Hail</v>
      </c>
      <c r="D77" t="s">
        <v>66</v>
      </c>
      <c r="E77" t="s">
        <v>9</v>
      </c>
      <c r="F77" t="s">
        <v>14</v>
      </c>
      <c r="G77" t="str">
        <f t="shared" si="3"/>
        <v>Adolecence</v>
      </c>
      <c r="H77">
        <v>28</v>
      </c>
      <c r="I77" t="s">
        <v>15</v>
      </c>
      <c r="J77">
        <v>5555</v>
      </c>
    </row>
    <row r="78" spans="1:10" x14ac:dyDescent="0.25">
      <c r="A78">
        <v>77</v>
      </c>
      <c r="B78" t="s">
        <v>67</v>
      </c>
      <c r="C78" t="str">
        <f t="shared" si="2"/>
        <v>Angelyn Vong</v>
      </c>
      <c r="D78" t="s">
        <v>68</v>
      </c>
      <c r="E78" t="s">
        <v>9</v>
      </c>
      <c r="F78" t="s">
        <v>10</v>
      </c>
      <c r="G78" t="str">
        <f t="shared" si="3"/>
        <v>Adolecence</v>
      </c>
      <c r="H78">
        <v>29</v>
      </c>
      <c r="I78" t="s">
        <v>20</v>
      </c>
      <c r="J78">
        <v>6125</v>
      </c>
    </row>
    <row r="79" spans="1:10" x14ac:dyDescent="0.25">
      <c r="A79">
        <v>78</v>
      </c>
      <c r="B79" t="s">
        <v>69</v>
      </c>
      <c r="C79" t="str">
        <f t="shared" si="2"/>
        <v>Francesca Beaudreau</v>
      </c>
      <c r="D79" t="s">
        <v>70</v>
      </c>
      <c r="E79" t="s">
        <v>9</v>
      </c>
      <c r="F79" t="s">
        <v>19</v>
      </c>
      <c r="G79" t="str">
        <f t="shared" si="3"/>
        <v>Adolecence</v>
      </c>
      <c r="H79">
        <v>23</v>
      </c>
      <c r="I79" s="2" t="s">
        <v>11</v>
      </c>
      <c r="J79">
        <v>5412</v>
      </c>
    </row>
    <row r="80" spans="1:10" x14ac:dyDescent="0.25">
      <c r="A80">
        <v>79</v>
      </c>
      <c r="B80" t="s">
        <v>71</v>
      </c>
      <c r="C80" t="str">
        <f t="shared" si="2"/>
        <v>Garth Gangi</v>
      </c>
      <c r="D80" t="s">
        <v>72</v>
      </c>
      <c r="E80" t="s">
        <v>18</v>
      </c>
      <c r="F80" t="s">
        <v>10</v>
      </c>
      <c r="G80" t="str">
        <f t="shared" si="3"/>
        <v>Middle Age</v>
      </c>
      <c r="H80">
        <v>41</v>
      </c>
      <c r="I80" t="s">
        <v>15</v>
      </c>
      <c r="J80">
        <v>3256</v>
      </c>
    </row>
    <row r="81" spans="1:10" x14ac:dyDescent="0.25">
      <c r="A81">
        <v>80</v>
      </c>
      <c r="B81" t="s">
        <v>73</v>
      </c>
      <c r="C81" t="str">
        <f t="shared" si="2"/>
        <v>Carla Trumbull</v>
      </c>
      <c r="D81" t="s">
        <v>74</v>
      </c>
      <c r="E81" t="s">
        <v>9</v>
      </c>
      <c r="F81" t="s">
        <v>14</v>
      </c>
      <c r="G81" t="str">
        <f t="shared" si="3"/>
        <v>Adolecence</v>
      </c>
      <c r="H81">
        <v>28</v>
      </c>
      <c r="I81" t="s">
        <v>20</v>
      </c>
      <c r="J81">
        <v>3264</v>
      </c>
    </row>
    <row r="82" spans="1:10" x14ac:dyDescent="0.25">
      <c r="A82">
        <v>81</v>
      </c>
      <c r="B82" t="s">
        <v>75</v>
      </c>
      <c r="C82" t="str">
        <f t="shared" si="2"/>
        <v>Veta Muntz</v>
      </c>
      <c r="D82" t="s">
        <v>76</v>
      </c>
      <c r="E82" t="s">
        <v>9</v>
      </c>
      <c r="F82" t="s">
        <v>14</v>
      </c>
      <c r="G82" t="str">
        <f t="shared" si="3"/>
        <v>Middle Age</v>
      </c>
      <c r="H82">
        <v>37</v>
      </c>
      <c r="I82" s="2" t="s">
        <v>11</v>
      </c>
      <c r="J82">
        <v>4569</v>
      </c>
    </row>
    <row r="83" spans="1:10" x14ac:dyDescent="0.25">
      <c r="A83">
        <v>82</v>
      </c>
      <c r="B83" t="s">
        <v>77</v>
      </c>
      <c r="C83" t="str">
        <f t="shared" si="2"/>
        <v>Stasia Becker</v>
      </c>
      <c r="D83" t="s">
        <v>78</v>
      </c>
      <c r="E83" t="s">
        <v>9</v>
      </c>
      <c r="F83" t="s">
        <v>14</v>
      </c>
      <c r="G83" t="str">
        <f t="shared" si="3"/>
        <v>Middle Age</v>
      </c>
      <c r="H83">
        <v>34</v>
      </c>
      <c r="I83" t="s">
        <v>15</v>
      </c>
      <c r="J83">
        <v>7521</v>
      </c>
    </row>
    <row r="84" spans="1:10" x14ac:dyDescent="0.25">
      <c r="A84">
        <v>83</v>
      </c>
      <c r="B84" t="s">
        <v>79</v>
      </c>
      <c r="C84" t="str">
        <f t="shared" si="2"/>
        <v>Jona Grindle</v>
      </c>
      <c r="D84" t="s">
        <v>80</v>
      </c>
      <c r="E84" t="s">
        <v>9</v>
      </c>
      <c r="F84" t="s">
        <v>14</v>
      </c>
      <c r="G84" t="str">
        <f t="shared" si="3"/>
        <v>Adolecence</v>
      </c>
      <c r="H84">
        <v>26</v>
      </c>
      <c r="I84" t="s">
        <v>20</v>
      </c>
      <c r="J84">
        <v>6458</v>
      </c>
    </row>
    <row r="85" spans="1:10" x14ac:dyDescent="0.25">
      <c r="A85">
        <v>84</v>
      </c>
      <c r="B85" t="s">
        <v>81</v>
      </c>
      <c r="C85" t="str">
        <f t="shared" si="2"/>
        <v>Judie Claywell</v>
      </c>
      <c r="D85" t="s">
        <v>82</v>
      </c>
      <c r="E85" t="s">
        <v>9</v>
      </c>
      <c r="F85" t="s">
        <v>19</v>
      </c>
      <c r="G85" t="str">
        <f t="shared" si="3"/>
        <v>Middle Age</v>
      </c>
      <c r="H85">
        <v>35</v>
      </c>
      <c r="I85" t="s">
        <v>15</v>
      </c>
      <c r="J85">
        <v>7569</v>
      </c>
    </row>
    <row r="86" spans="1:10" x14ac:dyDescent="0.25">
      <c r="A86">
        <v>85</v>
      </c>
      <c r="B86" t="s">
        <v>83</v>
      </c>
      <c r="C86" t="str">
        <f t="shared" si="2"/>
        <v>Dewitt Borger</v>
      </c>
      <c r="D86" t="s">
        <v>84</v>
      </c>
      <c r="E86" t="s">
        <v>18</v>
      </c>
      <c r="F86" t="s">
        <v>10</v>
      </c>
      <c r="G86" t="str">
        <f t="shared" si="3"/>
        <v>Middle Age</v>
      </c>
      <c r="H86">
        <v>36</v>
      </c>
      <c r="I86" t="s">
        <v>20</v>
      </c>
      <c r="J86">
        <v>8514</v>
      </c>
    </row>
    <row r="87" spans="1:10" x14ac:dyDescent="0.25">
      <c r="A87">
        <v>86</v>
      </c>
      <c r="B87" t="s">
        <v>85</v>
      </c>
      <c r="C87" t="str">
        <f t="shared" si="2"/>
        <v>Nena Hacker</v>
      </c>
      <c r="D87" t="s">
        <v>86</v>
      </c>
      <c r="E87" t="s">
        <v>9</v>
      </c>
      <c r="F87" t="s">
        <v>10</v>
      </c>
      <c r="G87" t="str">
        <f t="shared" si="3"/>
        <v>Adolecence</v>
      </c>
      <c r="H87">
        <v>29</v>
      </c>
      <c r="I87" s="2" t="s">
        <v>11</v>
      </c>
      <c r="J87">
        <v>8563</v>
      </c>
    </row>
    <row r="88" spans="1:10" x14ac:dyDescent="0.25">
      <c r="A88">
        <v>87</v>
      </c>
      <c r="B88" t="s">
        <v>87</v>
      </c>
      <c r="C88" t="str">
        <f t="shared" si="2"/>
        <v>Kelsie Wachtel</v>
      </c>
      <c r="D88" t="s">
        <v>88</v>
      </c>
      <c r="E88" t="s">
        <v>9</v>
      </c>
      <c r="F88" t="s">
        <v>19</v>
      </c>
      <c r="G88" t="str">
        <f t="shared" si="3"/>
        <v>Adolecence</v>
      </c>
      <c r="H88">
        <v>27</v>
      </c>
      <c r="I88" t="s">
        <v>15</v>
      </c>
      <c r="J88">
        <v>8642</v>
      </c>
    </row>
    <row r="89" spans="1:10" x14ac:dyDescent="0.25">
      <c r="A89">
        <v>88</v>
      </c>
      <c r="B89" t="s">
        <v>89</v>
      </c>
      <c r="C89" t="str">
        <f t="shared" si="2"/>
        <v>Sau Pfau</v>
      </c>
      <c r="D89" t="s">
        <v>90</v>
      </c>
      <c r="E89" t="s">
        <v>9</v>
      </c>
      <c r="F89" t="s">
        <v>10</v>
      </c>
      <c r="G89" t="str">
        <f t="shared" si="3"/>
        <v>Adolecence</v>
      </c>
      <c r="H89">
        <v>25</v>
      </c>
      <c r="I89" t="s">
        <v>20</v>
      </c>
      <c r="J89">
        <v>9536</v>
      </c>
    </row>
    <row r="90" spans="1:10" x14ac:dyDescent="0.25">
      <c r="A90">
        <v>89</v>
      </c>
      <c r="B90" t="s">
        <v>91</v>
      </c>
      <c r="C90" t="str">
        <f t="shared" si="2"/>
        <v>Shanice Mccrystal</v>
      </c>
      <c r="D90" t="s">
        <v>92</v>
      </c>
      <c r="E90" t="s">
        <v>9</v>
      </c>
      <c r="F90" t="s">
        <v>10</v>
      </c>
      <c r="G90" t="str">
        <f t="shared" si="3"/>
        <v>Middle Age</v>
      </c>
      <c r="H90">
        <v>36</v>
      </c>
      <c r="I90" t="s">
        <v>20</v>
      </c>
      <c r="J90">
        <v>2567</v>
      </c>
    </row>
    <row r="91" spans="1:10" x14ac:dyDescent="0.25">
      <c r="A91">
        <v>90</v>
      </c>
      <c r="B91" t="s">
        <v>93</v>
      </c>
      <c r="C91" t="str">
        <f t="shared" si="2"/>
        <v>Chase Karner</v>
      </c>
      <c r="D91" t="s">
        <v>94</v>
      </c>
      <c r="E91" t="s">
        <v>18</v>
      </c>
      <c r="F91" t="s">
        <v>10</v>
      </c>
      <c r="G91" t="str">
        <f t="shared" si="3"/>
        <v>Middle Age</v>
      </c>
      <c r="H91">
        <v>37</v>
      </c>
      <c r="I91" s="2" t="s">
        <v>11</v>
      </c>
      <c r="J91">
        <v>2154</v>
      </c>
    </row>
    <row r="92" spans="1:10" x14ac:dyDescent="0.25">
      <c r="A92">
        <v>91</v>
      </c>
      <c r="B92" t="s">
        <v>95</v>
      </c>
      <c r="C92" t="str">
        <f t="shared" si="2"/>
        <v>Tommie Underdahl</v>
      </c>
      <c r="D92" t="s">
        <v>96</v>
      </c>
      <c r="E92" t="s">
        <v>18</v>
      </c>
      <c r="F92" t="s">
        <v>10</v>
      </c>
      <c r="G92" t="str">
        <f t="shared" si="3"/>
        <v>Adolecence</v>
      </c>
      <c r="H92">
        <v>26</v>
      </c>
      <c r="I92" t="s">
        <v>15</v>
      </c>
      <c r="J92">
        <v>3265</v>
      </c>
    </row>
    <row r="93" spans="1:10" x14ac:dyDescent="0.25">
      <c r="A93">
        <v>92</v>
      </c>
      <c r="B93" t="s">
        <v>97</v>
      </c>
      <c r="C93" t="str">
        <f t="shared" si="2"/>
        <v>Dorcas Darity</v>
      </c>
      <c r="D93" t="s">
        <v>98</v>
      </c>
      <c r="E93" t="s">
        <v>9</v>
      </c>
      <c r="F93" t="s">
        <v>10</v>
      </c>
      <c r="G93" t="str">
        <f t="shared" si="3"/>
        <v>Middle Age</v>
      </c>
      <c r="H93">
        <v>37</v>
      </c>
      <c r="I93" t="s">
        <v>20</v>
      </c>
      <c r="J93">
        <v>8765</v>
      </c>
    </row>
    <row r="94" spans="1:10" x14ac:dyDescent="0.25">
      <c r="A94">
        <v>93</v>
      </c>
      <c r="B94" t="s">
        <v>99</v>
      </c>
      <c r="C94" t="str">
        <f t="shared" si="2"/>
        <v>Angel Sanor</v>
      </c>
      <c r="D94" t="s">
        <v>100</v>
      </c>
      <c r="E94" t="s">
        <v>18</v>
      </c>
      <c r="F94" t="s">
        <v>19</v>
      </c>
      <c r="G94" t="str">
        <f t="shared" si="3"/>
        <v>Adolecence</v>
      </c>
      <c r="H94">
        <v>24</v>
      </c>
      <c r="I94" s="2" t="s">
        <v>11</v>
      </c>
      <c r="J94">
        <v>3259</v>
      </c>
    </row>
    <row r="95" spans="1:10" x14ac:dyDescent="0.25">
      <c r="A95">
        <v>94</v>
      </c>
      <c r="B95" t="s">
        <v>101</v>
      </c>
      <c r="C95" t="str">
        <f t="shared" si="2"/>
        <v>Willodean Harn</v>
      </c>
      <c r="D95" t="s">
        <v>102</v>
      </c>
      <c r="E95" t="s">
        <v>9</v>
      </c>
      <c r="F95" t="s">
        <v>10</v>
      </c>
      <c r="G95" t="str">
        <f t="shared" si="3"/>
        <v>Middle Age</v>
      </c>
      <c r="H95">
        <v>39</v>
      </c>
      <c r="I95" t="s">
        <v>15</v>
      </c>
      <c r="J95">
        <v>3567</v>
      </c>
    </row>
    <row r="96" spans="1:10" x14ac:dyDescent="0.25">
      <c r="A96">
        <v>95</v>
      </c>
      <c r="B96" t="s">
        <v>103</v>
      </c>
      <c r="C96" t="str">
        <f t="shared" si="2"/>
        <v>Weston Martina</v>
      </c>
      <c r="D96" t="s">
        <v>104</v>
      </c>
      <c r="E96" t="s">
        <v>18</v>
      </c>
      <c r="F96" t="s">
        <v>10</v>
      </c>
      <c r="G96" t="str">
        <f t="shared" si="3"/>
        <v>Adolecence</v>
      </c>
      <c r="H96">
        <v>26</v>
      </c>
      <c r="I96" t="s">
        <v>20</v>
      </c>
      <c r="J96">
        <v>6540</v>
      </c>
    </row>
    <row r="97" spans="1:10" x14ac:dyDescent="0.25">
      <c r="A97">
        <v>96</v>
      </c>
      <c r="B97" t="s">
        <v>105</v>
      </c>
      <c r="C97" t="str">
        <f t="shared" si="2"/>
        <v>Roma Lafollette</v>
      </c>
      <c r="D97" t="s">
        <v>106</v>
      </c>
      <c r="E97" t="s">
        <v>9</v>
      </c>
      <c r="F97" t="s">
        <v>10</v>
      </c>
      <c r="G97" t="str">
        <f t="shared" si="3"/>
        <v>Middle Age</v>
      </c>
      <c r="H97">
        <v>34</v>
      </c>
      <c r="I97" s="2" t="s">
        <v>11</v>
      </c>
      <c r="J97">
        <v>2654</v>
      </c>
    </row>
    <row r="98" spans="1:10" x14ac:dyDescent="0.25">
      <c r="A98">
        <v>97</v>
      </c>
      <c r="B98" t="s">
        <v>107</v>
      </c>
      <c r="C98" t="str">
        <f t="shared" si="2"/>
        <v>Felisa Cail</v>
      </c>
      <c r="D98" t="s">
        <v>108</v>
      </c>
      <c r="E98" t="s">
        <v>9</v>
      </c>
      <c r="F98" t="s">
        <v>10</v>
      </c>
      <c r="G98" t="str">
        <f t="shared" si="3"/>
        <v>Adolecence</v>
      </c>
      <c r="H98">
        <v>28</v>
      </c>
      <c r="I98" t="s">
        <v>15</v>
      </c>
      <c r="J98">
        <v>6525</v>
      </c>
    </row>
    <row r="99" spans="1:10" x14ac:dyDescent="0.25">
      <c r="A99">
        <v>98</v>
      </c>
      <c r="B99" t="s">
        <v>109</v>
      </c>
      <c r="C99" t="str">
        <f t="shared" si="2"/>
        <v>Demetria Abbey</v>
      </c>
      <c r="D99" t="s">
        <v>110</v>
      </c>
      <c r="E99" t="s">
        <v>9</v>
      </c>
      <c r="F99" t="s">
        <v>10</v>
      </c>
      <c r="G99" t="str">
        <f t="shared" si="3"/>
        <v>Middle Age</v>
      </c>
      <c r="H99">
        <v>32</v>
      </c>
      <c r="I99" t="s">
        <v>20</v>
      </c>
      <c r="J99">
        <v>3265</v>
      </c>
    </row>
    <row r="100" spans="1:10" x14ac:dyDescent="0.25">
      <c r="A100">
        <v>99</v>
      </c>
      <c r="B100" t="s">
        <v>111</v>
      </c>
      <c r="C100" t="str">
        <f t="shared" si="2"/>
        <v>Jeromy Danz</v>
      </c>
      <c r="D100" t="s">
        <v>112</v>
      </c>
      <c r="E100" t="s">
        <v>18</v>
      </c>
      <c r="F100" t="s">
        <v>10</v>
      </c>
      <c r="G100" t="str">
        <f t="shared" si="3"/>
        <v>Middle Age</v>
      </c>
      <c r="H100">
        <v>39</v>
      </c>
      <c r="I100" s="2" t="s">
        <v>11</v>
      </c>
      <c r="J100">
        <v>3265</v>
      </c>
    </row>
    <row r="101" spans="1:10" x14ac:dyDescent="0.25">
      <c r="A101">
        <v>100</v>
      </c>
      <c r="B101" t="s">
        <v>113</v>
      </c>
      <c r="C101" t="str">
        <f t="shared" si="2"/>
        <v>Rasheeda Alkire</v>
      </c>
      <c r="D101" t="s">
        <v>114</v>
      </c>
      <c r="E101" t="s">
        <v>9</v>
      </c>
      <c r="F101" t="s">
        <v>10</v>
      </c>
      <c r="G101" t="str">
        <f t="shared" si="3"/>
        <v>Adolecence</v>
      </c>
      <c r="H101">
        <v>29</v>
      </c>
      <c r="I101" t="s">
        <v>15</v>
      </c>
      <c r="J101">
        <v>6125</v>
      </c>
    </row>
  </sheetData>
  <autoFilter ref="A1:J1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F49"/>
  <sheetViews>
    <sheetView topLeftCell="A14" workbookViewId="0">
      <selection activeCell="B24" sqref="B24"/>
    </sheetView>
  </sheetViews>
  <sheetFormatPr defaultRowHeight="13.2" x14ac:dyDescent="0.25"/>
  <cols>
    <col min="2" max="2" width="18.6640625" customWidth="1"/>
    <col min="3" max="4" width="9.21875" customWidth="1"/>
    <col min="5" max="5" width="10.33203125" customWidth="1"/>
    <col min="6" max="6" width="10.33203125" bestFit="1" customWidth="1"/>
  </cols>
  <sheetData>
    <row r="6" spans="2:6" x14ac:dyDescent="0.25">
      <c r="B6" s="16" t="s">
        <v>118</v>
      </c>
      <c r="C6" s="16" t="s">
        <v>3</v>
      </c>
      <c r="D6" s="14"/>
      <c r="E6" s="14"/>
      <c r="F6" s="15"/>
    </row>
    <row r="7" spans="2:6" ht="26.4" x14ac:dyDescent="0.25">
      <c r="B7" s="16" t="s">
        <v>2</v>
      </c>
      <c r="C7" s="17" t="s">
        <v>19</v>
      </c>
      <c r="D7" s="26" t="s">
        <v>14</v>
      </c>
      <c r="E7" s="26" t="s">
        <v>10</v>
      </c>
      <c r="F7" s="27" t="s">
        <v>117</v>
      </c>
    </row>
    <row r="8" spans="2:6" x14ac:dyDescent="0.25">
      <c r="B8" s="17" t="s">
        <v>9</v>
      </c>
      <c r="C8" s="20">
        <v>524</v>
      </c>
      <c r="D8" s="21">
        <v>876</v>
      </c>
      <c r="E8" s="21">
        <v>1178</v>
      </c>
      <c r="F8" s="11">
        <v>2578</v>
      </c>
    </row>
    <row r="9" spans="2:6" x14ac:dyDescent="0.25">
      <c r="B9" s="18" t="s">
        <v>18</v>
      </c>
      <c r="C9" s="22">
        <v>238</v>
      </c>
      <c r="D9" s="23">
        <v>52</v>
      </c>
      <c r="E9" s="23">
        <v>458</v>
      </c>
      <c r="F9" s="13">
        <v>748</v>
      </c>
    </row>
    <row r="10" spans="2:6" x14ac:dyDescent="0.25">
      <c r="B10" s="19" t="s">
        <v>117</v>
      </c>
      <c r="C10" s="24">
        <v>762</v>
      </c>
      <c r="D10" s="25">
        <v>928</v>
      </c>
      <c r="E10" s="25">
        <v>1636</v>
      </c>
      <c r="F10" s="10">
        <v>3326</v>
      </c>
    </row>
    <row r="24" spans="2:5" x14ac:dyDescent="0.25">
      <c r="B24" s="7" t="s">
        <v>120</v>
      </c>
      <c r="C24" s="7" t="s">
        <v>2</v>
      </c>
      <c r="D24" s="5"/>
      <c r="E24" s="6"/>
    </row>
    <row r="25" spans="2:5" x14ac:dyDescent="0.25">
      <c r="B25" s="7" t="s">
        <v>4</v>
      </c>
      <c r="C25" s="4" t="s">
        <v>9</v>
      </c>
      <c r="D25" s="28" t="s">
        <v>18</v>
      </c>
      <c r="E25" s="8" t="s">
        <v>117</v>
      </c>
    </row>
    <row r="26" spans="2:5" x14ac:dyDescent="0.25">
      <c r="B26" s="4">
        <v>21</v>
      </c>
      <c r="C26" s="20"/>
      <c r="D26" s="21">
        <v>2</v>
      </c>
      <c r="E26" s="11">
        <v>2</v>
      </c>
    </row>
    <row r="27" spans="2:5" x14ac:dyDescent="0.25">
      <c r="B27" s="12">
        <v>23</v>
      </c>
      <c r="C27" s="22">
        <v>2</v>
      </c>
      <c r="D27" s="23"/>
      <c r="E27" s="13">
        <v>2</v>
      </c>
    </row>
    <row r="28" spans="2:5" x14ac:dyDescent="0.25">
      <c r="B28" s="12">
        <v>24</v>
      </c>
      <c r="C28" s="22">
        <v>2</v>
      </c>
      <c r="D28" s="23">
        <v>4</v>
      </c>
      <c r="E28" s="13">
        <v>6</v>
      </c>
    </row>
    <row r="29" spans="2:5" x14ac:dyDescent="0.25">
      <c r="B29" s="12">
        <v>25</v>
      </c>
      <c r="C29" s="22">
        <v>6</v>
      </c>
      <c r="D29" s="23"/>
      <c r="E29" s="13">
        <v>6</v>
      </c>
    </row>
    <row r="30" spans="2:5" x14ac:dyDescent="0.25">
      <c r="B30" s="12">
        <v>26</v>
      </c>
      <c r="C30" s="22">
        <v>4</v>
      </c>
      <c r="D30" s="23">
        <v>6</v>
      </c>
      <c r="E30" s="13">
        <v>10</v>
      </c>
    </row>
    <row r="31" spans="2:5" x14ac:dyDescent="0.25">
      <c r="B31" s="12">
        <v>27</v>
      </c>
      <c r="C31" s="22">
        <v>4</v>
      </c>
      <c r="D31" s="23"/>
      <c r="E31" s="13">
        <v>4</v>
      </c>
    </row>
    <row r="32" spans="2:5" x14ac:dyDescent="0.25">
      <c r="B32" s="12">
        <v>28</v>
      </c>
      <c r="C32" s="22">
        <v>10</v>
      </c>
      <c r="D32" s="23"/>
      <c r="E32" s="13">
        <v>10</v>
      </c>
    </row>
    <row r="33" spans="2:5" x14ac:dyDescent="0.25">
      <c r="B33" s="12">
        <v>29</v>
      </c>
      <c r="C33" s="22">
        <v>6</v>
      </c>
      <c r="D33" s="23"/>
      <c r="E33" s="13">
        <v>6</v>
      </c>
    </row>
    <row r="34" spans="2:5" x14ac:dyDescent="0.25">
      <c r="B34" s="12">
        <v>31</v>
      </c>
      <c r="C34" s="22">
        <v>2</v>
      </c>
      <c r="D34" s="23"/>
      <c r="E34" s="13">
        <v>2</v>
      </c>
    </row>
    <row r="35" spans="2:5" x14ac:dyDescent="0.25">
      <c r="B35" s="12">
        <v>32</v>
      </c>
      <c r="C35" s="22">
        <v>6</v>
      </c>
      <c r="D35" s="23"/>
      <c r="E35" s="13">
        <v>6</v>
      </c>
    </row>
    <row r="36" spans="2:5" x14ac:dyDescent="0.25">
      <c r="B36" s="12">
        <v>34</v>
      </c>
      <c r="C36" s="22">
        <v>4</v>
      </c>
      <c r="D36" s="23"/>
      <c r="E36" s="13">
        <v>4</v>
      </c>
    </row>
    <row r="37" spans="2:5" x14ac:dyDescent="0.25">
      <c r="B37" s="12">
        <v>35</v>
      </c>
      <c r="C37" s="22">
        <v>2</v>
      </c>
      <c r="D37" s="23"/>
      <c r="E37" s="13">
        <v>2</v>
      </c>
    </row>
    <row r="38" spans="2:5" x14ac:dyDescent="0.25">
      <c r="B38" s="12">
        <v>36</v>
      </c>
      <c r="C38" s="22">
        <v>2</v>
      </c>
      <c r="D38" s="23">
        <v>4</v>
      </c>
      <c r="E38" s="13">
        <v>6</v>
      </c>
    </row>
    <row r="39" spans="2:5" x14ac:dyDescent="0.25">
      <c r="B39" s="12">
        <v>37</v>
      </c>
      <c r="C39" s="22">
        <v>6</v>
      </c>
      <c r="D39" s="23">
        <v>2</v>
      </c>
      <c r="E39" s="13">
        <v>8</v>
      </c>
    </row>
    <row r="40" spans="2:5" x14ac:dyDescent="0.25">
      <c r="B40" s="12">
        <v>38</v>
      </c>
      <c r="C40" s="22"/>
      <c r="D40" s="23">
        <v>2</v>
      </c>
      <c r="E40" s="13">
        <v>2</v>
      </c>
    </row>
    <row r="41" spans="2:5" x14ac:dyDescent="0.25">
      <c r="B41" s="12">
        <v>39</v>
      </c>
      <c r="C41" s="22">
        <v>6</v>
      </c>
      <c r="D41" s="23">
        <v>2</v>
      </c>
      <c r="E41" s="13">
        <v>8</v>
      </c>
    </row>
    <row r="42" spans="2:5" x14ac:dyDescent="0.25">
      <c r="B42" s="12">
        <v>40</v>
      </c>
      <c r="C42" s="22">
        <v>2</v>
      </c>
      <c r="D42" s="23"/>
      <c r="E42" s="13">
        <v>2</v>
      </c>
    </row>
    <row r="43" spans="2:5" x14ac:dyDescent="0.25">
      <c r="B43" s="12">
        <v>41</v>
      </c>
      <c r="C43" s="22"/>
      <c r="D43" s="23">
        <v>2</v>
      </c>
      <c r="E43" s="13">
        <v>2</v>
      </c>
    </row>
    <row r="44" spans="2:5" x14ac:dyDescent="0.25">
      <c r="B44" s="12">
        <v>42</v>
      </c>
      <c r="C44" s="22">
        <v>2</v>
      </c>
      <c r="D44" s="23"/>
      <c r="E44" s="13">
        <v>2</v>
      </c>
    </row>
    <row r="45" spans="2:5" x14ac:dyDescent="0.25">
      <c r="B45" s="12">
        <v>46</v>
      </c>
      <c r="C45" s="22">
        <v>4</v>
      </c>
      <c r="D45" s="23"/>
      <c r="E45" s="13">
        <v>4</v>
      </c>
    </row>
    <row r="46" spans="2:5" x14ac:dyDescent="0.25">
      <c r="B46" s="12">
        <v>52</v>
      </c>
      <c r="C46" s="22">
        <v>2</v>
      </c>
      <c r="D46" s="23"/>
      <c r="E46" s="13">
        <v>2</v>
      </c>
    </row>
    <row r="47" spans="2:5" x14ac:dyDescent="0.25">
      <c r="B47" s="12">
        <v>56</v>
      </c>
      <c r="C47" s="22">
        <v>2</v>
      </c>
      <c r="D47" s="23"/>
      <c r="E47" s="13">
        <v>2</v>
      </c>
    </row>
    <row r="48" spans="2:5" x14ac:dyDescent="0.25">
      <c r="B48" s="12">
        <v>58</v>
      </c>
      <c r="C48" s="22">
        <v>2</v>
      </c>
      <c r="D48" s="23"/>
      <c r="E48" s="13">
        <v>2</v>
      </c>
    </row>
    <row r="49" spans="2:5" x14ac:dyDescent="0.25">
      <c r="B49" s="9" t="s">
        <v>117</v>
      </c>
      <c r="C49" s="24">
        <v>76</v>
      </c>
      <c r="D49" s="25">
        <v>24</v>
      </c>
      <c r="E49" s="10">
        <v>100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5"/>
  <sheetViews>
    <sheetView showGridLines="0" topLeftCell="A2" workbookViewId="0">
      <selection activeCell="J28" sqref="J28"/>
    </sheetView>
  </sheetViews>
  <sheetFormatPr defaultRowHeight="13.2" x14ac:dyDescent="0.25"/>
  <sheetData>
    <row r="2" spans="1:9" x14ac:dyDescent="0.25">
      <c r="A2" s="29" t="s">
        <v>119</v>
      </c>
      <c r="B2" s="30"/>
      <c r="C2" s="30"/>
      <c r="D2" s="30"/>
      <c r="E2" s="30"/>
      <c r="F2" s="30"/>
      <c r="G2" s="30"/>
      <c r="H2" s="30"/>
      <c r="I2" s="30"/>
    </row>
    <row r="3" spans="1:9" x14ac:dyDescent="0.25">
      <c r="A3" s="30"/>
      <c r="B3" s="30"/>
      <c r="C3" s="30"/>
      <c r="D3" s="30"/>
      <c r="E3" s="30"/>
      <c r="F3" s="30"/>
      <c r="G3" s="30"/>
      <c r="H3" s="30"/>
      <c r="I3" s="30"/>
    </row>
    <row r="4" spans="1:9" x14ac:dyDescent="0.25">
      <c r="A4" s="30"/>
      <c r="B4" s="30"/>
      <c r="C4" s="30"/>
      <c r="D4" s="30"/>
      <c r="E4" s="30"/>
      <c r="F4" s="30"/>
      <c r="G4" s="30"/>
      <c r="H4" s="30"/>
      <c r="I4" s="30"/>
    </row>
    <row r="5" spans="1:9" x14ac:dyDescent="0.25">
      <c r="A5" s="30"/>
      <c r="B5" s="30"/>
      <c r="C5" s="30"/>
      <c r="D5" s="30"/>
      <c r="E5" s="30"/>
      <c r="F5" s="30"/>
      <c r="G5" s="30"/>
      <c r="H5" s="30"/>
      <c r="I5" s="30"/>
    </row>
  </sheetData>
  <mergeCells count="1">
    <mergeCell ref="A2:I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TITILAYO ANUOLUWAPO</dc:creator>
  <cp:lastModifiedBy>DAMILARE EMMANUEL OLATUNJI</cp:lastModifiedBy>
  <dcterms:created xsi:type="dcterms:W3CDTF">2023-11-01T12:14:44Z</dcterms:created>
  <dcterms:modified xsi:type="dcterms:W3CDTF">2025-06-19T20:52:47Z</dcterms:modified>
</cp:coreProperties>
</file>